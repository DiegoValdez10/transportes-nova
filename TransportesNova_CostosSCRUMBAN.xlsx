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SCRUM" sheetId="2" r:id="rId6"/>
    <sheet state="visible" name="SCRUMBAN" sheetId="3" r:id="rId7"/>
    <sheet state="visible" name="KANBAN" sheetId="4" r:id="rId8"/>
    <sheet state="visible" name="XP" sheetId="5" r:id="rId9"/>
    <sheet state="visible" name="Water Scrum Fall" sheetId="6" r:id="rId10"/>
    <sheet state="visible" name="PMI" sheetId="7" r:id="rId11"/>
    <sheet state="visible" name="Equipo" sheetId="8" r:id="rId12"/>
    <sheet state="visible" name="Backlog" sheetId="9" r:id="rId13"/>
    <sheet state="visible" name="MVP" sheetId="10" r:id="rId14"/>
  </sheets>
  <definedNames>
    <definedName hidden="1" localSheetId="8" name="_xlnm._FilterDatabase">Backlog!$A$1:$H$12</definedName>
    <definedName hidden="1" localSheetId="9" name="_xlnm._FilterDatabase">MVP!$A$1:$H$6</definedName>
  </definedNames>
  <calcPr/>
</workbook>
</file>

<file path=xl/sharedStrings.xml><?xml version="1.0" encoding="utf-8"?>
<sst xmlns="http://schemas.openxmlformats.org/spreadsheetml/2006/main" count="1750" uniqueCount="708">
  <si>
    <t>TransportesNova — Análisis Comparativo de Costos por Metodología</t>
  </si>
  <si>
    <t>Basado en el backlog real de Jira · 92 Historias de Usuario · 623 Story Points</t>
  </si>
  <si>
    <t>Métrica</t>
  </si>
  <si>
    <t>SCRUM</t>
  </si>
  <si>
    <t>KANBAN</t>
  </si>
  <si>
    <t>SCRUMBAN</t>
  </si>
  <si>
    <t>XP</t>
  </si>
  <si>
    <t>WSF</t>
  </si>
  <si>
    <t>Duración del Proyecto</t>
  </si>
  <si>
    <t>Total Story Points / Historias</t>
  </si>
  <si>
    <t>Costo Total del Proyecto (Interno)</t>
  </si>
  <si>
    <t>Ingreso Total del Proyecto (Venta)</t>
  </si>
  <si>
    <t>Margen Bruto</t>
  </si>
  <si>
    <t>Margen Bruto % (sobre venta)</t>
  </si>
  <si>
    <t>Costo por Unidad de Trabajo</t>
  </si>
  <si>
    <t>Ver hoja SCRUMBAN</t>
  </si>
  <si>
    <t>Equipo Mensual (costo interno)</t>
  </si>
  <si>
    <t xml:space="preserve">  NOTAS METODOLÓGICAS</t>
  </si>
  <si>
    <t xml:space="preserve">  SCRUM:</t>
  </si>
  <si>
    <t>Iteraciones fijas (sprints). Mejor para proyectos con alcance definido y necesidad de entregas periódicas predecibles.</t>
  </si>
  <si>
    <t xml:space="preserve">  KANBAN:</t>
  </si>
  <si>
    <t>Flujo continuo sin sprints. Mejor para proyectos con requerimientos cambiantes; duración mayor pero más flexible.</t>
  </si>
  <si>
    <t xml:space="preserve">  SCRUMBAN:</t>
  </si>
  <si>
    <t>Híbrido: Build con disciplina de sprints + Run con flujo Kanban continuo. Ideal para equipos que entregan Y mantienen.</t>
  </si>
  <si>
    <t xml:space="preserve">  XP:</t>
  </si>
  <si>
    <t>Enfoque en calidad: pair programming, TDD, integración continua. Mejor para proyectos donde la calidad del código es crítica.</t>
  </si>
  <si>
    <t xml:space="preserve">  WATER-SCRUM-FALL:</t>
  </si>
  <si>
    <t>Híbrido tradicional+ágil: planificación cascada inicial + desarrollo Scrum + despliegue cascada final. Precio fijo cerrado. Ideal para empresas con procesos formales y gobierno corporativo.</t>
  </si>
  <si>
    <t>SCRUM — Estimación de Costos del Proyecto</t>
  </si>
  <si>
    <t xml:space="preserve">  SUPUESTOS DE EQUIPO</t>
  </si>
  <si>
    <t>Costo Total del Equipo / Mes</t>
  </si>
  <si>
    <t>Q/mes</t>
  </si>
  <si>
    <t>Vinculado desde hoja Equipo</t>
  </si>
  <si>
    <t>Costo Interno (50% FTE) / Mes</t>
  </si>
  <si>
    <t xml:space="preserve">  SUPUESTOS DE METODOLOGÍA SCRUM</t>
  </si>
  <si>
    <t>Velocidad del Equipo</t>
  </si>
  <si>
    <t>SP / sprint</t>
  </si>
  <si>
    <t>Story Points por sprint de 2 semanas</t>
  </si>
  <si>
    <t>Duración del Sprint</t>
  </si>
  <si>
    <t>semanas</t>
  </si>
  <si>
    <t>Factor de Holgura (buffer)</t>
  </si>
  <si>
    <t>10% de margen sobre estimación base</t>
  </si>
  <si>
    <t>Precio de Venta por Sprint</t>
  </si>
  <si>
    <t>Q / sprint</t>
  </si>
  <si>
    <t>Tarifa comercial acordada con cliente</t>
  </si>
  <si>
    <t xml:space="preserve">  BACKLOG — STORY POINTS TOTALES</t>
  </si>
  <si>
    <t xml:space="preserve">  TOTAL STORY POINTS DEL PROYECTO</t>
  </si>
  <si>
    <t>SP totales</t>
  </si>
  <si>
    <t xml:space="preserve">  CÁLCULOS DEL PROYECTO</t>
  </si>
  <si>
    <t>Total Sprints (sin holgura)</t>
  </si>
  <si>
    <t>sprints</t>
  </si>
  <si>
    <t>SP totales ÷ velocidad</t>
  </si>
  <si>
    <t>Total Sprints (con holgura)</t>
  </si>
  <si>
    <t>× factor 10 de holgura</t>
  </si>
  <si>
    <t>Duración Total del Proyecto</t>
  </si>
  <si>
    <t>meses</t>
  </si>
  <si>
    <t>Semanas totales ÷ 4.33 semanas/mes</t>
  </si>
  <si>
    <t>Meses</t>
  </si>
  <si>
    <t>11</t>
  </si>
  <si>
    <t>Costo Interno por Sprint</t>
  </si>
  <si>
    <t>Q/sprint</t>
  </si>
  <si>
    <t>Costo mensual interno ÷ sprints por mes</t>
  </si>
  <si>
    <t>mesis</t>
  </si>
  <si>
    <t xml:space="preserve">  RESUMEN FINANCIERO</t>
  </si>
  <si>
    <t>Q</t>
  </si>
  <si>
    <t>Margen Bruto %  (sobre venta)</t>
  </si>
  <si>
    <t>%</t>
  </si>
  <si>
    <t>Ingreso menos Costo, dividido Ingreso</t>
  </si>
  <si>
    <t>Markup %  (margen sobre costo)</t>
  </si>
  <si>
    <t>Ingreso menos Costo, dividido Costo</t>
  </si>
  <si>
    <t>Costo por Story Point</t>
  </si>
  <si>
    <t>Q/SP</t>
  </si>
  <si>
    <t>Costo total ÷ SP totales</t>
  </si>
  <si>
    <t xml:space="preserve">  Leyenda: Amarillo = input/supuesto editable   Azul = fórmula calculada   Verde = vinculado desde otra hoja</t>
  </si>
  <si>
    <t>VELOCIDAD DEL EQUIPO DE TRABAJO</t>
  </si>
  <si>
    <t>Senior 1:</t>
  </si>
  <si>
    <t xml:space="preserve"> 18–20 </t>
  </si>
  <si>
    <t>SP</t>
  </si>
  <si>
    <t>Senior 2:</t>
  </si>
  <si>
    <r>
      <rPr>
        <rFont val="Arial"/>
        <color theme="0"/>
        <sz val="10.0"/>
      </rPr>
      <t>Junior 1:</t>
    </r>
    <r>
      <rPr>
        <rFont val="Calibri"/>
        <color theme="0"/>
        <sz val="11.0"/>
      </rPr>
      <t xml:space="preserve"> </t>
    </r>
  </si>
  <si>
    <t xml:space="preserve">10–12 </t>
  </si>
  <si>
    <r>
      <rPr>
        <rFont val="Arial"/>
        <color theme="0"/>
        <sz val="10.0"/>
      </rPr>
      <t>Junior 2:</t>
    </r>
    <r>
      <rPr>
        <rFont val="Calibri"/>
        <color theme="0"/>
        <sz val="11.0"/>
      </rPr>
      <t xml:space="preserve"> </t>
    </r>
  </si>
  <si>
    <t>SCRUMBAN — Estimación de Costos del Proyecto</t>
  </si>
  <si>
    <t>Costo asignado al proyecto (base para márgenes)</t>
  </si>
  <si>
    <t xml:space="preserve">  SUPUESTOS SCRUMBAN — FASE BUILD (Sprints Scrum)</t>
  </si>
  <si>
    <t>SP/sprint</t>
  </si>
  <si>
    <t>Factor Holgura Build</t>
  </si>
  <si>
    <t>20% buffer para fase de desarrollo</t>
  </si>
  <si>
    <t>Capacidad BUILD (desarrollo activo)</t>
  </si>
  <si>
    <t>70% del equipo en features nuevas</t>
  </si>
  <si>
    <t>Capacidad RUN  (operación/mantenimiento)</t>
  </si>
  <si>
    <t>30% del equipo en soporte continuo</t>
  </si>
  <si>
    <t xml:space="preserve">  SUPUESTOS SCRUMBAN — FASE RUN (Kanban continuo)</t>
  </si>
  <si>
    <t>Lead Time promedio (fase Run)</t>
  </si>
  <si>
    <t>días</t>
  </si>
  <si>
    <t>Días por historia en modo operativo</t>
  </si>
  <si>
    <t>WIP Limit (fase Run)</t>
  </si>
  <si>
    <t>tareas</t>
  </si>
  <si>
    <t>Días laborales por mes</t>
  </si>
  <si>
    <t>días/mes</t>
  </si>
  <si>
    <t xml:space="preserve">BACKLOG </t>
  </si>
  <si>
    <t>Total Story Points</t>
  </si>
  <si>
    <t>Sprints</t>
  </si>
  <si>
    <t>Sprints con holgura</t>
  </si>
  <si>
    <t>COSTOS BUILD Y COSTOS RUN</t>
  </si>
  <si>
    <t>Costo Build</t>
  </si>
  <si>
    <t>Costo Run</t>
  </si>
  <si>
    <t>MARGEN OBJETIVO</t>
  </si>
  <si>
    <t>Margen objetivo</t>
  </si>
  <si>
    <t>PRECIOS</t>
  </si>
  <si>
    <t>Precio Build</t>
  </si>
  <si>
    <t>Precio Run</t>
  </si>
  <si>
    <t>Precio Build por sprint</t>
  </si>
  <si>
    <t>INGRESOS Y COSTOS</t>
  </si>
  <si>
    <t xml:space="preserve">Ingreso Total </t>
  </si>
  <si>
    <t>Costo Total</t>
  </si>
  <si>
    <t>MARGEN BRUTO Y PORCENTAJE DE MARGEN</t>
  </si>
  <si>
    <t>Margen bruto</t>
  </si>
  <si>
    <t>Margen %</t>
  </si>
  <si>
    <t>KANBAN — Estimación de Costos del Proyecto</t>
  </si>
  <si>
    <t xml:space="preserve">  SUPUESTOS DE METODOLOGÍA KANBAN</t>
  </si>
  <si>
    <t>Cycle Time promedio</t>
  </si>
  <si>
    <t>Días efectivos de trabajo por historia</t>
  </si>
  <si>
    <t>Lead Time promedio</t>
  </si>
  <si>
    <t>Días totales incluyendo cola/espera</t>
  </si>
  <si>
    <t>WIP Limit (tareas en paralelo)</t>
  </si>
  <si>
    <t>Límite de trabajo en progreso simultáneo</t>
  </si>
  <si>
    <t>Días hábiles de trabajo mensual</t>
  </si>
  <si>
    <t>Precio de Venta / Mes</t>
  </si>
  <si>
    <t>Tarifa mensual comercial cobrada al cliente</t>
  </si>
  <si>
    <t xml:space="preserve">  VOLUMEN DE TRABAJO — BACKLOG</t>
  </si>
  <si>
    <t>Total Historias de Usuario (Backlog)</t>
  </si>
  <si>
    <t>historias</t>
  </si>
  <si>
    <t>Historias activas del backlog en Jira (10 épicas)</t>
  </si>
  <si>
    <t xml:space="preserve">  CÁLCULOS DE FLUJO</t>
  </si>
  <si>
    <t>Total Días de Trabajo</t>
  </si>
  <si>
    <t>Historias × Lead Time</t>
  </si>
  <si>
    <t>Días Ajustados por WIP</t>
  </si>
  <si>
    <t>Lead Time total ÷ WIP Limit (paralelismo)</t>
  </si>
  <si>
    <t>Días ajustados ÷ días laborales/mes (redondeado arriba)</t>
  </si>
  <si>
    <t>Throughput (historias / mes)</t>
  </si>
  <si>
    <t>hist/mes</t>
  </si>
  <si>
    <t>WIP × días/mes ÷ Lead Time</t>
  </si>
  <si>
    <t>Markup % (margen sobre costo)</t>
  </si>
  <si>
    <t>Costo por Historia de Usuario</t>
  </si>
  <si>
    <t>Q/hist</t>
  </si>
  <si>
    <t>EXTREME PROGRAMMING (XP) — Estimación de Costos del Proyecto</t>
  </si>
  <si>
    <t>TransportesNova — Basado en metodología XP: enfoque en calidad del código, pair programming, pruebas continuas</t>
  </si>
  <si>
    <t>1. BURN RATE — Costo Real Mensual del Equipo</t>
  </si>
  <si>
    <t>Fórmula:  Costo real mensual = Σ (Costo persona × FTE)</t>
  </si>
  <si>
    <t>BURN RATE (Costo real mensual)</t>
  </si>
  <si>
    <t>2. PARÁMETROS DEL PROYECTO</t>
  </si>
  <si>
    <t>Total Story Points del Proyecto</t>
  </si>
  <si>
    <t>Backlog real con 92 historias en 10 épicas</t>
  </si>
  <si>
    <t>Story Points completados por sprint</t>
  </si>
  <si>
    <t>Iteración corta estilo XP</t>
  </si>
  <si>
    <t>3. CÁLCULOS DEL PROYECTO</t>
  </si>
  <si>
    <t>× factor de holgura, redondeado</t>
  </si>
  <si>
    <t>4. PRECIO AL CLIENTE (Markup Libre — estilo PDF profesor)</t>
  </si>
  <si>
    <t>Considera: costo real del equipo + riesgo del proyecto + gastos administrativos</t>
  </si>
  <si>
    <t>Margen objetivo (%)</t>
  </si>
  <si>
    <t>Margen sobre venta (PDF: ~24%)</t>
  </si>
  <si>
    <t>Precio al cliente mensual</t>
  </si>
  <si>
    <t>Costo real mensual / (1 - margen)</t>
  </si>
  <si>
    <t>5. RESUMEN FINANCIERO MENSUAL (estilo PDF profesor)</t>
  </si>
  <si>
    <t>Costo real mensual (Burn Rate)</t>
  </si>
  <si>
    <t>Σ (Costo persona × FTE)</t>
  </si>
  <si>
    <t>Precio acordado con cliente</t>
  </si>
  <si>
    <t>Margen Bruto mensual</t>
  </si>
  <si>
    <t>Margen Bruto = Precio − Costo Real</t>
  </si>
  <si>
    <t>Margen % mensual</t>
  </si>
  <si>
    <t>Margen % = (Margen Bruto ÷ Precio) × 100</t>
  </si>
  <si>
    <t>6. RESUMEN FINANCIERO — TOTAL DEL PROYECTO</t>
  </si>
  <si>
    <t>Costo Total del Proyecto</t>
  </si>
  <si>
    <t>Burn Rate × Duración en meses</t>
  </si>
  <si>
    <t>Venta Proyecto</t>
  </si>
  <si>
    <t>Ganancia Total</t>
  </si>
  <si>
    <t>WATER-SCRUM-FALL — Estimación de Costos del Proyecto</t>
  </si>
  <si>
    <t>Metodología híbrida: Water (cascada inicial) → Scrum (desarrollo ágil) → Fall (despliegue cascada). Contrato de precio fijo.</t>
  </si>
  <si>
    <t xml:space="preserve">  FASE 1 — WATER (Planificación inicial - Cascada)</t>
  </si>
  <si>
    <t>Lógica de costo: Costo Mensual del Equipo Water × Duración en meses. Solo participan PO, Seniors y SM. Devs aún no están activos.</t>
  </si>
  <si>
    <t>Rol</t>
  </si>
  <si>
    <t>Salario (Q)</t>
  </si>
  <si>
    <t>FTE</t>
  </si>
  <si>
    <t>Costo Asignado (Q)</t>
  </si>
  <si>
    <t>Función en Water</t>
  </si>
  <si>
    <t>Product Owner</t>
  </si>
  <si>
    <t>Definir backlog detallado y validar requerimientos</t>
  </si>
  <si>
    <t>Senior - Cloud Engineer</t>
  </si>
  <si>
    <t>Diseño arquitectónico técnico del sistema</t>
  </si>
  <si>
    <t>Senior - DevOps</t>
  </si>
  <si>
    <t>Planificación de infraestructura y CI/CD</t>
  </si>
  <si>
    <t>SM/Facilitador</t>
  </si>
  <si>
    <t>Coordinación, contratos, plan de gestión</t>
  </si>
  <si>
    <t>COSTO MENSUAL EQUIPO WATER</t>
  </si>
  <si>
    <t>Σ Salario × FTE de roles activos</t>
  </si>
  <si>
    <t>Duración fase Water</t>
  </si>
  <si>
    <t>Análisis, diseño arquitectónico, contratos</t>
  </si>
  <si>
    <t>COSTO TOTAL FASE WATER</t>
  </si>
  <si>
    <t>Fórmula: costo mensual × Duración</t>
  </si>
  <si>
    <t xml:space="preserve">   FASE 2 — SCRUM (Desarrollo iterativo - Ágil)</t>
  </si>
  <si>
    <t>Lógica de costo: Reutilizamos cálculos de la hoja SCRUM. Equipo completo activo durante sprints.</t>
  </si>
  <si>
    <t>Costo Interno Mensual (Equipo completo)</t>
  </si>
  <si>
    <t>Vinculado de hoja SCRUM (50% FTE)</t>
  </si>
  <si>
    <t>Story Points Totales</t>
  </si>
  <si>
    <t>Vinculado de hoja SCRUM</t>
  </si>
  <si>
    <t>Duración fase Scrum</t>
  </si>
  <si>
    <t>COSTO TOTAL FASE SCRUM</t>
  </si>
  <si>
    <t>Vinculado: Costo total del proyecto Scrum</t>
  </si>
  <si>
    <t xml:space="preserve">  FASE 3 — FALL (Despliegue y cierre - Cascada)</t>
  </si>
  <si>
    <t>Lógica de costo: Costo mensual × duración. Equipo reducido: QA, Seniors, PO parcial. Devs salen del proyecto.</t>
  </si>
  <si>
    <t>Función en Fall</t>
  </si>
  <si>
    <t>QA Engineer</t>
  </si>
  <si>
    <t>Pruebas finales intensivas, UAT</t>
  </si>
  <si>
    <t>Despliegue a producción, infraestructura</t>
  </si>
  <si>
    <t>Configuración entorno productivo</t>
  </si>
  <si>
    <t>Validación UAT y firma de aceptación</t>
  </si>
  <si>
    <t>COSTO MENSUAL EQUIPO FALL</t>
  </si>
  <si>
    <t>Duración fase Fall</t>
  </si>
  <si>
    <t>QA final, UAT, despliegue, capacitación</t>
  </si>
  <si>
    <t>COSTO TOTAL FASE FALL</t>
  </si>
  <si>
    <t xml:space="preserve">  COSTOS EXTRA WATER-SCRUM-FALL</t>
  </si>
  <si>
    <t>Documentación formal, auditorías, certificaciones, capacitación: requeridos por contrato de precio fijo y gobierno corporativo.</t>
  </si>
  <si>
    <t>Concepto</t>
  </si>
  <si>
    <t>Costo (Q)</t>
  </si>
  <si>
    <t>Fase</t>
  </si>
  <si>
    <t>Justificación</t>
  </si>
  <si>
    <t>Documentación formal extendida</t>
  </si>
  <si>
    <t>Water+Fall</t>
  </si>
  <si>
    <t>Planes, diagramas, manuales (PMBOK)</t>
  </si>
  <si>
    <t>Análisis de negocio profundo</t>
  </si>
  <si>
    <t>Water</t>
  </si>
  <si>
    <t>Requerimientos detallados pre-desarrollo</t>
  </si>
  <si>
    <t>Diseño arquitectónico formal</t>
  </si>
  <si>
    <t>Arquitectura completa antes de codear</t>
  </si>
  <si>
    <t>Auditoría externa de seguridad</t>
  </si>
  <si>
    <t>Fall</t>
  </si>
  <si>
    <t>Validación antes de producción</t>
  </si>
  <si>
    <t>UAT formal con cliente</t>
  </si>
  <si>
    <t>Pruebas con pilotos y operadores reales</t>
  </si>
  <si>
    <t>Capacitación de usuarios</t>
  </si>
  <si>
    <t>Pilotos, supervisores, administradores</t>
  </si>
  <si>
    <t>Soporte hypercare (1er mes)</t>
  </si>
  <si>
    <t>Post-Fall</t>
  </si>
  <si>
    <t>Equipo de guardia tras go-live</t>
  </si>
  <si>
    <t>COSTO TOTAL EXTRAS</t>
  </si>
  <si>
    <t>Suma de costos adicionales</t>
  </si>
  <si>
    <t xml:space="preserve">  RESUMEN FINANCIERO DEL PROYECTO</t>
  </si>
  <si>
    <t>Monto (Q)</t>
  </si>
  <si>
    <t>Duración</t>
  </si>
  <si>
    <t>Notas</t>
  </si>
  <si>
    <t>Fase Water</t>
  </si>
  <si>
    <t>Cascada inicial: análisis y diseño</t>
  </si>
  <si>
    <t>Fase Scrum</t>
  </si>
  <si>
    <t>Desarrollo iterativo ágil</t>
  </si>
  <si>
    <t>Fase Fall</t>
  </si>
  <si>
    <t>Cascada final: despliegue y cierre</t>
  </si>
  <si>
    <t>Costos Extra WSF</t>
  </si>
  <si>
    <t>—</t>
  </si>
  <si>
    <t>Docs formales, auditorías, capacitación</t>
  </si>
  <si>
    <t>COSTO TOTAL INTERNO DEL PROYECTO</t>
  </si>
  <si>
    <t>Suma de las 3 fases + extras</t>
  </si>
  <si>
    <t xml:space="preserve">  PRECIO AL CLIENTE (Contrato de Precio Fijo Cerrado)</t>
  </si>
  <si>
    <t>Margen objetivo (sobre venta)</t>
  </si>
  <si>
    <t>Mayor que ágil (35-45%) por riesgo de precio fijo</t>
  </si>
  <si>
    <t>PRECIO FIJO AL CLIENTE</t>
  </si>
  <si>
    <t>Fórmula: costo total ÷ (1 − margen)</t>
  </si>
  <si>
    <t>Margen Bruto (Ganancia)</t>
  </si>
  <si>
    <t>Fórmula: precio − Costo Total</t>
  </si>
  <si>
    <t>Fórmula: margen bruto ÷ Costo Total</t>
  </si>
  <si>
    <t>ANÁLISIS FINANCIERO PMI — TransportesNova</t>
  </si>
  <si>
    <t>Reserva de Riesgos (EMV) · TMAR · ROI · ROA · Payback — Comparativa entre las 4 metodologías</t>
  </si>
  <si>
    <t xml:space="preserve">  1. PRESUPUESTO BASE POR METODOLOGÍA (vinculado de cada hoja)</t>
  </si>
  <si>
    <t>Costo Interno del Equipo</t>
  </si>
  <si>
    <t>Vinculado desde cada hoja de metodología</t>
  </si>
  <si>
    <t>Otros costos del proyecto (Sección 2)</t>
  </si>
  <si>
    <t>Licencias, servidores, capacitación, etc.</t>
  </si>
  <si>
    <t>PRESUPUESTO BASE</t>
  </si>
  <si>
    <t>Fórmula: Costo Interno + Otros costos</t>
  </si>
  <si>
    <t xml:space="preserve">  2. OTROS COSTOS DEL PROYECTO (común a todas las metodologías)</t>
  </si>
  <si>
    <t>Licencias de software</t>
  </si>
  <si>
    <t>Herramientas Jira, GitHub, etc.</t>
  </si>
  <si>
    <t>Servidores y cloud</t>
  </si>
  <si>
    <t>AWS/Azure durante todo el proyecto</t>
  </si>
  <si>
    <t>Capacitación del equipo</t>
  </si>
  <si>
    <t>Onboarding y formación específica</t>
  </si>
  <si>
    <t>QA externo</t>
  </si>
  <si>
    <t>Auditoría de calidad puntual</t>
  </si>
  <si>
    <t>Documentación</t>
  </si>
  <si>
    <t>Manuales, diagramas, entregables</t>
  </si>
  <si>
    <t>TOTAL OTROS COSTOS</t>
  </si>
  <si>
    <t>Mismo monto para las 4 metodologías</t>
  </si>
  <si>
    <t xml:space="preserve">  3. RESERVA DE RIESGOS — Valor Monetario Esperado (EMV) — PMBOK Gestión de Riesgos</t>
  </si>
  <si>
    <t>Fórmula EMV = Probabilidad × Impacto.  Reserva de Riesgos = Σ EMV</t>
  </si>
  <si>
    <t>Riesgo identificado</t>
  </si>
  <si>
    <t>Probabilidad</t>
  </si>
  <si>
    <t>Impacto (Q)</t>
  </si>
  <si>
    <t>EMV (Q)</t>
  </si>
  <si>
    <t>Costo Mensual</t>
  </si>
  <si>
    <t>Tiempo</t>
  </si>
  <si>
    <t>Comentario</t>
  </si>
  <si>
    <t>Cambio de requerimientos del cliente</t>
  </si>
  <si>
    <t>Alta probabilidad en proyectos ágiles</t>
  </si>
  <si>
    <t>Retraso técnico / curva de aprendizaje</t>
  </si>
  <si>
    <t>Equipo junior incluido</t>
  </si>
  <si>
    <t>Disponibilidad de stakeholders</t>
  </si>
  <si>
    <t>PO y SM a 50% FTE</t>
  </si>
  <si>
    <t>Defectos en producción</t>
  </si>
  <si>
    <t>Mitigado en XP por pair programming</t>
  </si>
  <si>
    <t>Dependencias externas (cloud, API)</t>
  </si>
  <si>
    <t>Servicios de terceros</t>
  </si>
  <si>
    <t>RESERVA DE RIESGOS TOTAL (Σ EMV)</t>
  </si>
  <si>
    <t>Reserva común para las 4 metodologías</t>
  </si>
  <si>
    <t xml:space="preserve">  4. PRESUPUESTO INTERNO CON RIESGOS = Presupuesto Base + Reserva de Riesgos</t>
  </si>
  <si>
    <t>Presupuesto Base</t>
  </si>
  <si>
    <t>(+) Reserva de Riesgos</t>
  </si>
  <si>
    <t>PRESUPUESTO INTERNO CON RIESGOS</t>
  </si>
  <si>
    <t>Cost Baseline + Contingency Reserve (PMBOK)</t>
  </si>
  <si>
    <t xml:space="preserve">  5. PRECIO AL CLIENTE (Ingreso del Proyecto)</t>
  </si>
  <si>
    <t>Precio al Cliente (Ingreso Total)</t>
  </si>
  <si>
    <t>Vinculado desde cada hoja</t>
  </si>
  <si>
    <t xml:space="preserve">  6. TMAR — Tasa Mínima Atractiva de Retorno (común a todas las metodologías)</t>
  </si>
  <si>
    <t>Fórmula: TMAR = Inflación + Riesgo + Rendimiento esperado</t>
  </si>
  <si>
    <t>Valor</t>
  </si>
  <si>
    <t>Inflación</t>
  </si>
  <si>
    <t>Inflación esperada Guatemala (promedio)</t>
  </si>
  <si>
    <t>Riesgo del proyecto</t>
  </si>
  <si>
    <t>Proyecto de complejidad normal</t>
  </si>
  <si>
    <t>Rendimiento esperado</t>
  </si>
  <si>
    <t>Meta financiera de la empresa</t>
  </si>
  <si>
    <t>TMAR TOTAL</t>
  </si>
  <si>
    <t>Tasa mínima que el proyecto debe superar</t>
  </si>
  <si>
    <t xml:space="preserve">  7. BENEFICIOS ESPERADOS DEL SISTEMA (Ahorros anuales para TransportesNova)</t>
  </si>
  <si>
    <t>Beneficio</t>
  </si>
  <si>
    <t>Ahorro Anual (Q)</t>
  </si>
  <si>
    <t>Reducción de personal administrativo</t>
  </si>
  <si>
    <t>Automatización de gestión de flota y rutas (3p en 1p)</t>
  </si>
  <si>
    <t>Menos errores operativos</t>
  </si>
  <si>
    <t>Trazabilidad y validaciones del sistema</t>
  </si>
  <si>
    <t>Mayor productividad de pilotos</t>
  </si>
  <si>
    <t>Optimización de rutas y dashboards</t>
  </si>
  <si>
    <t>Menos tiempo en operaciones manuales</t>
  </si>
  <si>
    <t>Monitoreo en tiempo real y alertas</t>
  </si>
  <si>
    <t>BENEFICIO ANUAL TOTAL</t>
  </si>
  <si>
    <t>Suma de ahorros anuales</t>
  </si>
  <si>
    <t>Beneficio Mensual</t>
  </si>
  <si>
    <t>Fórmula: Beneficio Anual ÷ 12</t>
  </si>
  <si>
    <t xml:space="preserve">  8. ROI — Retorno sobre la Inversión por Metodología</t>
  </si>
  <si>
    <t>Fórmula: ROI = (Beneficio Neto / Inversión) × 100   donde Beneficio Neto = Precio al Cliente − Inversión</t>
  </si>
  <si>
    <t>Inversión (Presupuesto Interno)</t>
  </si>
  <si>
    <t>Beneficio Esperado (Precio Cliente)</t>
  </si>
  <si>
    <t>Beneficio Neto</t>
  </si>
  <si>
    <t>Fórmula: Beneficio Esperado − Inversión</t>
  </si>
  <si>
    <t>ROI</t>
  </si>
  <si>
    <t>Retorno por cada Q1 invertido</t>
  </si>
  <si>
    <t xml:space="preserve">  9. ROI vs TMAR — ¿El proyecto es financieramente atractivo?</t>
  </si>
  <si>
    <t>Decisión</t>
  </si>
  <si>
    <t>TMAR</t>
  </si>
  <si>
    <t>Veredicto</t>
  </si>
  <si>
    <t>ROI &gt; TMAR = Aprobar proyecto</t>
  </si>
  <si>
    <t xml:space="preserve">  10. PAYBACK PERIOD — Tiempo de Recuperación de la Inversión</t>
  </si>
  <si>
    <t>Fórmula: Payback = Inversión / Beneficio Mensual</t>
  </si>
  <si>
    <t>Flujo Mensual</t>
  </si>
  <si>
    <t>Mismo para todas las metodologías</t>
  </si>
  <si>
    <t>Inversión</t>
  </si>
  <si>
    <t>Payback (meses)</t>
  </si>
  <si>
    <t>Meses para recuperar la inversión</t>
  </si>
  <si>
    <t xml:space="preserve">  11. ROA — Retorno sobre Activos</t>
  </si>
  <si>
    <t>Fórmula: ROA = Utilidad Neta / Activos Totales</t>
  </si>
  <si>
    <t>Activo</t>
  </si>
  <si>
    <t>Valor (Q)</t>
  </si>
  <si>
    <t>Laptops del equipo</t>
  </si>
  <si>
    <t>7 estaciones × ~Q17K</t>
  </si>
  <si>
    <t>Infraestructura técnica</t>
  </si>
  <si>
    <t>Licencias y software</t>
  </si>
  <si>
    <t>Herramientas de desarrollo</t>
  </si>
  <si>
    <t>Oficina e infraestructura</t>
  </si>
  <si>
    <t>Espacio y servicios físicos</t>
  </si>
  <si>
    <t>ACTIVOS TOTALES</t>
  </si>
  <si>
    <t>Utilidad Neta</t>
  </si>
  <si>
    <t>Activos Totales</t>
  </si>
  <si>
    <t>ROA</t>
  </si>
  <si>
    <t>Retorno por cada Q1 invertido en activos</t>
  </si>
  <si>
    <t xml:space="preserve">  12. RESUMEN EJECUTIVO — Comparativa Final entre Metodologías</t>
  </si>
  <si>
    <t>Métrica PMI</t>
  </si>
  <si>
    <t>Análisis</t>
  </si>
  <si>
    <t>Costo equipo + otros</t>
  </si>
  <si>
    <t>Reserva de Riesgos</t>
  </si>
  <si>
    <t>Igual para todas</t>
  </si>
  <si>
    <t>Presupuesto con Riesgos</t>
  </si>
  <si>
    <t>Inversión total requerida</t>
  </si>
  <si>
    <t>Precio Cliente</t>
  </si>
  <si>
    <t>Ingreso del proyecto</t>
  </si>
  <si>
    <t>Utilidad por la entrega</t>
  </si>
  <si>
    <t>Retorno sobre inversión</t>
  </si>
  <si>
    <t>Tasa mínima requerida</t>
  </si>
  <si>
    <t>TransportesNova — Equipo de Trabajo (Supuestos Compartidos)</t>
  </si>
  <si>
    <t>Descripción</t>
  </si>
  <si>
    <t>Salario Mensual (Q)</t>
  </si>
  <si>
    <t>FTE Asignado</t>
  </si>
  <si>
    <t>PO</t>
  </si>
  <si>
    <t>Scrum Master / Facilitador</t>
  </si>
  <si>
    <t>JN1</t>
  </si>
  <si>
    <t>Junior Full Stack 1</t>
  </si>
  <si>
    <t>JN2</t>
  </si>
  <si>
    <t>Junior Full Stack 2</t>
  </si>
  <si>
    <t>QA</t>
  </si>
  <si>
    <t>SN1</t>
  </si>
  <si>
    <t>SN2</t>
  </si>
  <si>
    <t>COSTO TOTAL MENSUAL</t>
  </si>
  <si>
    <t>COSTO INTERNO (50% FTE – sin overhead)</t>
  </si>
  <si>
    <t>Clave</t>
  </si>
  <si>
    <t>Título Historia</t>
  </si>
  <si>
    <t>Épica</t>
  </si>
  <si>
    <t>Descripción Épica</t>
  </si>
  <si>
    <t>Tipo</t>
  </si>
  <si>
    <t>Prioridad</t>
  </si>
  <si>
    <t>Estado</t>
  </si>
  <si>
    <t>EP01 — Usuarios, Roles y Permisos</t>
  </si>
  <si>
    <t>SCRUM-11</t>
  </si>
  <si>
    <t>Registrar usuarios internos</t>
  </si>
  <si>
    <t>EP01</t>
  </si>
  <si>
    <t>Usuarios, Roles y Permisos</t>
  </si>
  <si>
    <t>Historia</t>
  </si>
  <si>
    <t>High</t>
  </si>
  <si>
    <t>Backlog</t>
  </si>
  <si>
    <t>SCRUM-12</t>
  </si>
  <si>
    <t>Consultar listado de usuarios internos</t>
  </si>
  <si>
    <t>Medium</t>
  </si>
  <si>
    <t>SCRUM-13</t>
  </si>
  <si>
    <t>Buscar usuarios por criterios</t>
  </si>
  <si>
    <t>SCRUM-14</t>
  </si>
  <si>
    <t>Editar información de usuarios</t>
  </si>
  <si>
    <t>SCRUM-15</t>
  </si>
  <si>
    <t>Inactivar usuarios internos</t>
  </si>
  <si>
    <t>SCRUM-16</t>
  </si>
  <si>
    <t>Asignar roles a usuarios</t>
  </si>
  <si>
    <t>SCRUM-17</t>
  </si>
  <si>
    <t>Restringir acceso según rol</t>
  </si>
  <si>
    <t>SCRUM-18</t>
  </si>
  <si>
    <t>Restablecer credenciales de acceso</t>
  </si>
  <si>
    <t>SCRUM-19</t>
  </si>
  <si>
    <t>Auditar cambios de usuarios y permisos</t>
  </si>
  <si>
    <t>Low</t>
  </si>
  <si>
    <t>Subtotal EP01 — 9 historias</t>
  </si>
  <si>
    <t>EP02 — Gestión de Flota y Unidades</t>
  </si>
  <si>
    <t>SCRUM-20</t>
  </si>
  <si>
    <t>Registrar unidades de transporte</t>
  </si>
  <si>
    <t>EP02</t>
  </si>
  <si>
    <t>Gestión de Flota y Unidades</t>
  </si>
  <si>
    <t>SCRUM-21</t>
  </si>
  <si>
    <t>Consultar listado de unidades</t>
  </si>
  <si>
    <t>SCRUM-22</t>
  </si>
  <si>
    <t>Buscar unidades por placa o tipo</t>
  </si>
  <si>
    <t>SCRUM-23</t>
  </si>
  <si>
    <t>Editar información de unidades</t>
  </si>
  <si>
    <t>SCRUM-24</t>
  </si>
  <si>
    <t>Cambiar estado operativo de una unidad</t>
  </si>
  <si>
    <t>SCRUM-25</t>
  </si>
  <si>
    <t>Consultar detalle de una unidad</t>
  </si>
  <si>
    <t>SCRUM-26</t>
  </si>
  <si>
    <t>Validar disponibilidad antes de asignar unidad</t>
  </si>
  <si>
    <t>SCRUM-27</t>
  </si>
  <si>
    <t>Registrar capacidad y tipo de carga soportada</t>
  </si>
  <si>
    <t>SCRUM-28</t>
  </si>
  <si>
    <t>Consultar historial de uso por unidad</t>
  </si>
  <si>
    <t>SCRUM-29</t>
  </si>
  <si>
    <t>Dar de baja una unidad</t>
  </si>
  <si>
    <t>SCRUM-30</t>
  </si>
  <si>
    <t>Registrar documentación legal de una unidad</t>
  </si>
  <si>
    <t>SCRUM-31</t>
  </si>
  <si>
    <t>Alertar vencimiento de documentos de unidad</t>
  </si>
  <si>
    <t>Subtotal EP02 — 12 historias</t>
  </si>
  <si>
    <t>EP03 — Gestión de Pilotos</t>
  </si>
  <si>
    <t>SCRUM-32</t>
  </si>
  <si>
    <t>Registrar pilotos</t>
  </si>
  <si>
    <t>EP03</t>
  </si>
  <si>
    <t>Gestión de Pilotos</t>
  </si>
  <si>
    <t>SCRUM-33</t>
  </si>
  <si>
    <t>Consultar listado de pilotos</t>
  </si>
  <si>
    <t>SCRUM-34</t>
  </si>
  <si>
    <t>Actualizar información de pilotos</t>
  </si>
  <si>
    <t>SCRUM-35</t>
  </si>
  <si>
    <t>Registrar disponibilidad de pilotos</t>
  </si>
  <si>
    <t>SCRUM-36</t>
  </si>
  <si>
    <t>Validar licencia y vencimiento</t>
  </si>
  <si>
    <t>SCRUM-37</t>
  </si>
  <si>
    <t>Impedir doble asignación de piloto</t>
  </si>
  <si>
    <t>SCRUM-38</t>
  </si>
  <si>
    <t>Consultar historial operativo del piloto</t>
  </si>
  <si>
    <t>SCRUM-39</t>
  </si>
  <si>
    <t>Inactivar pilotos</t>
  </si>
  <si>
    <t>SCRUM-40</t>
  </si>
  <si>
    <t>Registrar observaciones de desempeño</t>
  </si>
  <si>
    <t>SCRUM-41</t>
  </si>
  <si>
    <t>Registrar documentación personal del piloto</t>
  </si>
  <si>
    <t>SCRUM-42</t>
  </si>
  <si>
    <t>Alertar vencimiento de licencia del piloto</t>
  </si>
  <si>
    <t>Subtotal EP03 — 11 historias</t>
  </si>
  <si>
    <t>EP04 — Rutas y Planificación Operativa</t>
  </si>
  <si>
    <t>SCRUM-43</t>
  </si>
  <si>
    <t>Registrar rutas</t>
  </si>
  <si>
    <t>EP04</t>
  </si>
  <si>
    <t>Rutas y Planificación Operativa</t>
  </si>
  <si>
    <t>SCRUM-44</t>
  </si>
  <si>
    <t>Consultar rutas registradas</t>
  </si>
  <si>
    <t>SCRUM-45</t>
  </si>
  <si>
    <t>Editar rutas existentes</t>
  </si>
  <si>
    <t>SCRUM-46</t>
  </si>
  <si>
    <t>Programar horarios de salida y llegada</t>
  </si>
  <si>
    <t>SCRUM-47</t>
  </si>
  <si>
    <t>Asignar unidad a una ruta</t>
  </si>
  <si>
    <t>SCRUM-48</t>
  </si>
  <si>
    <t>Asignar piloto a una ruta</t>
  </si>
  <si>
    <t>SCRUM-49</t>
  </si>
  <si>
    <t>Validar coherencia de asignaciones de ruta</t>
  </si>
  <si>
    <t>SCRUM-50</t>
  </si>
  <si>
    <t>Reprogramar rutas ante contingencias</t>
  </si>
  <si>
    <t>SCRUM-51</t>
  </si>
  <si>
    <t>Aprobar cambios críticos de ruta</t>
  </si>
  <si>
    <t>SCRUM-52</t>
  </si>
  <si>
    <t>Consultar calendario operativo de rutas</t>
  </si>
  <si>
    <t>SCRUM-53</t>
  </si>
  <si>
    <t>Consultar rutas alternativas disponibles</t>
  </si>
  <si>
    <t>SCRUM-54</t>
  </si>
  <si>
    <t>Comparar rutas por distancia estimada</t>
  </si>
  <si>
    <t>SCRUM-55</t>
  </si>
  <si>
    <t>Comparar rutas por tiempo estimado</t>
  </si>
  <si>
    <t>SCRUM-56</t>
  </si>
  <si>
    <t>Mostrar recomendación de ruta más eficiente</t>
  </si>
  <si>
    <t>SCRUM-57</t>
  </si>
  <si>
    <t>Confirmar ruta sugerida como ruta operativa</t>
  </si>
  <si>
    <t>Subtotal EP04 — 15 historias</t>
  </si>
  <si>
    <t>EP05 — Monitoreo en Tiempo Real</t>
  </si>
  <si>
    <t>SCRUM-58</t>
  </si>
  <si>
    <t>Mostrar unidades activas en mapa</t>
  </si>
  <si>
    <t>EP05</t>
  </si>
  <si>
    <t>Monitoreo en Tiempo Real</t>
  </si>
  <si>
    <t>SCRUM-59</t>
  </si>
  <si>
    <t>Diferenciar unidades por estado operativo</t>
  </si>
  <si>
    <t>SCRUM-60</t>
  </si>
  <si>
    <t>Actualizar ubicación de unidades en intervalos definidos</t>
  </si>
  <si>
    <t>SCRUM-61</t>
  </si>
  <si>
    <t>Consultar estado actual de una unidad en ruta</t>
  </si>
  <si>
    <t>SCRUM-62</t>
  </si>
  <si>
    <t>Visualizar progreso de viaje por ruta</t>
  </si>
  <si>
    <t>SCRUM-63</t>
  </si>
  <si>
    <t>Identificar unidades retrasadas</t>
  </si>
  <si>
    <t>SCRUM-64</t>
  </si>
  <si>
    <t>Identificar desvíos de ruta</t>
  </si>
  <si>
    <t>SCRUM-65</t>
  </si>
  <si>
    <t>Consultar detalle en vivo de una unidad</t>
  </si>
  <si>
    <t>SCRUM-66</t>
  </si>
  <si>
    <t>Filtrar monitoreo por región o estado</t>
  </si>
  <si>
    <t>SCRUM-67</t>
  </si>
  <si>
    <t>Registrar pérdida temporal de señal</t>
  </si>
  <si>
    <t>SCRUM-68</t>
  </si>
  <si>
    <t>Mostrar última ubicación conocida de una unidad</t>
  </si>
  <si>
    <t>Subtotal EP05 — 11 historias</t>
  </si>
  <si>
    <t>EP06 — Gestión de Incidencias</t>
  </si>
  <si>
    <t>SCRUM-69</t>
  </si>
  <si>
    <t>Registrar incidencias en ruta</t>
  </si>
  <si>
    <t>EP06</t>
  </si>
  <si>
    <t>Gestión de Incidencias</t>
  </si>
  <si>
    <t>SCRUM-70</t>
  </si>
  <si>
    <t>Clasificar tipo de incidencia</t>
  </si>
  <si>
    <t>SCRUM-71</t>
  </si>
  <si>
    <t>Asignar prioridad a incidencias</t>
  </si>
  <si>
    <t>SCRUM-72</t>
  </si>
  <si>
    <t>Dar seguimiento al estado de una incidencia</t>
  </si>
  <si>
    <t>SCRUM-73</t>
  </si>
  <si>
    <t>Consultar historial de incidencias</t>
  </si>
  <si>
    <t>SCRUM-74</t>
  </si>
  <si>
    <t>Adjuntar evidencia a incidencias</t>
  </si>
  <si>
    <t>SCRUM-75</t>
  </si>
  <si>
    <t>Escalar incidencias críticas</t>
  </si>
  <si>
    <t>SCRUM-76</t>
  </si>
  <si>
    <t>Cerrar incidencias con resolución documentada</t>
  </si>
  <si>
    <t>SCRUM-77</t>
  </si>
  <si>
    <t>Asignar responsable de atención a una incidencia</t>
  </si>
  <si>
    <t>SCRUM-78</t>
  </si>
  <si>
    <t>Registrar comentarios de seguimiento de incidencia</t>
  </si>
  <si>
    <t>Subtotal EP06 — 10 historias</t>
  </si>
  <si>
    <t>EP07 — Mantenimiento Preventivo y Correctivo</t>
  </si>
  <si>
    <t>SCRUM-79</t>
  </si>
  <si>
    <t>Registrar mantenimientos preventivos</t>
  </si>
  <si>
    <t>EP07</t>
  </si>
  <si>
    <t>Mantenimiento Preventivo y Correctivo</t>
  </si>
  <si>
    <t>SCRUM-80</t>
  </si>
  <si>
    <t>Registrar mantenimientos correctivos</t>
  </si>
  <si>
    <t>SCRUM-81</t>
  </si>
  <si>
    <t>Consultar calendario de mantenimiento</t>
  </si>
  <si>
    <t>SCRUM-82</t>
  </si>
  <si>
    <t>Bloquear unidades con mantenimiento vencido</t>
  </si>
  <si>
    <t>SCRUM-83</t>
  </si>
  <si>
    <t>Registrar costos de mantenimiento</t>
  </si>
  <si>
    <t>SCRUM-84</t>
  </si>
  <si>
    <t>Consultar historial de mantenimiento por unidad</t>
  </si>
  <si>
    <t>SCRUM-85</t>
  </si>
  <si>
    <t>Registrar taller y responsable</t>
  </si>
  <si>
    <t>SCRUM-86</t>
  </si>
  <si>
    <t>Actualizar estado de unidad después de mantenimiento</t>
  </si>
  <si>
    <t>SCRUM-87</t>
  </si>
  <si>
    <t>Registrar observaciones técnicas de mantenimiento</t>
  </si>
  <si>
    <t>SCRUM-88</t>
  </si>
  <si>
    <t>Consultar unidades próximas a mantenimiento</t>
  </si>
  <si>
    <t>SCRUM-89</t>
  </si>
  <si>
    <t>Programar mantenimiento preventivo por kilometraje o fecha</t>
  </si>
  <si>
    <t>Subtotal EP07 — 11 historias</t>
  </si>
  <si>
    <t>EP08 — Alertas y Notificaciones</t>
  </si>
  <si>
    <t>SCRUM-90</t>
  </si>
  <si>
    <t>Generar alerta por retraso de unidad</t>
  </si>
  <si>
    <t>EP08</t>
  </si>
  <si>
    <t>Alertas y Notificaciones</t>
  </si>
  <si>
    <t>SCRUM-91</t>
  </si>
  <si>
    <t>Generar alerta por desvío de ruta</t>
  </si>
  <si>
    <t>SCRUM-92</t>
  </si>
  <si>
    <t>Generar alerta por mantenimiento próximo</t>
  </si>
  <si>
    <t>SCRUM-93</t>
  </si>
  <si>
    <t>Visualizar bandeja de alertas activas</t>
  </si>
  <si>
    <t>SCRUM-94</t>
  </si>
  <si>
    <t>Marcar alertas como atendidas</t>
  </si>
  <si>
    <t>SCRUM-95</t>
  </si>
  <si>
    <t>Crear regla de alerta por retraso</t>
  </si>
  <si>
    <t>SCRUM-96</t>
  </si>
  <si>
    <t>Crear regla de alerta por desvío</t>
  </si>
  <si>
    <t>SCRUM-97</t>
  </si>
  <si>
    <t>Crear regla de alerta por mantenimiento próximo</t>
  </si>
  <si>
    <t>SCRUM-98</t>
  </si>
  <si>
    <t>Editar reglas de alerta existentes</t>
  </si>
  <si>
    <t>SCRUM-99</t>
  </si>
  <si>
    <t>Activar o desactivar reglas de alerta</t>
  </si>
  <si>
    <t>SCRUM-100</t>
  </si>
  <si>
    <t>Notificar incidencias críticas a supervisión</t>
  </si>
  <si>
    <t>SCRUM-101</t>
  </si>
  <si>
    <t>Consultar historial de alertas</t>
  </si>
  <si>
    <t>Subtotal EP08 — 12 historias</t>
  </si>
  <si>
    <t>EP09 — Dashboard Ejecutivo y Reportes</t>
  </si>
  <si>
    <t>SCRUM-102</t>
  </si>
  <si>
    <t>Visualizar indicadores generales en dashboard</t>
  </si>
  <si>
    <t>EP09</t>
  </si>
  <si>
    <t>Dashboard Ejecutivo y Reportes</t>
  </si>
  <si>
    <t>SCRUM-103</t>
  </si>
  <si>
    <t>Mostrar total de unidades activas</t>
  </si>
  <si>
    <t>SCRUM-104</t>
  </si>
  <si>
    <t>Mostrar total de rutas programadas</t>
  </si>
  <si>
    <t>SCRUM-105</t>
  </si>
  <si>
    <t>Mostrar incidencias abiertas</t>
  </si>
  <si>
    <t>SCRUM-106</t>
  </si>
  <si>
    <t>Mostrar unidades disponibles y no disponibles</t>
  </si>
  <si>
    <t>SCRUM-107</t>
  </si>
  <si>
    <t>Mostrar encomiendas en proceso</t>
  </si>
  <si>
    <t>SCRUM-108</t>
  </si>
  <si>
    <t>Consultar reporte de puntualidad</t>
  </si>
  <si>
    <t>SCRUM-109</t>
  </si>
  <si>
    <t>Consultar reporte de desempeño de pilotos</t>
  </si>
  <si>
    <t>SCRUM-110</t>
  </si>
  <si>
    <t>Consultar reporte de consumo de combustible</t>
  </si>
  <si>
    <t>SCRUM-111</t>
  </si>
  <si>
    <t>Consultar disponibilidad de flota</t>
  </si>
  <si>
    <t>SCRUM-112</t>
  </si>
  <si>
    <t>Filtrar reportes por rango de fechas</t>
  </si>
  <si>
    <t>SCRUM-113</t>
  </si>
  <si>
    <t>Exportar reportes</t>
  </si>
  <si>
    <t>SCRUM-114</t>
  </si>
  <si>
    <t>Consultar reporte de incidencias operativas</t>
  </si>
  <si>
    <t>SCRUM-115</t>
  </si>
  <si>
    <t>Consultar tablero de alertas y mantenimientos</t>
  </si>
  <si>
    <t>Subtotal EP09 — 14 historias</t>
  </si>
  <si>
    <t>EP10 — Trazabilidad Interna de Encomiendas</t>
  </si>
  <si>
    <t>SCRUM-116</t>
  </si>
  <si>
    <t>Registrar encomiendas</t>
  </si>
  <si>
    <t>EP10</t>
  </si>
  <si>
    <t>Trazabilidad Interna de Encomiendas</t>
  </si>
  <si>
    <t>SCRUM-117</t>
  </si>
  <si>
    <t>Clasificar encomiendas por tipo y tamaño</t>
  </si>
  <si>
    <t>SCRUM-118</t>
  </si>
  <si>
    <t>Asignar encomiendas a rutas</t>
  </si>
  <si>
    <t>SCRUM-119</t>
  </si>
  <si>
    <t>Asignar encomiendas a unidades</t>
  </si>
  <si>
    <t>SCRUM-120</t>
  </si>
  <si>
    <t>Actualizar estado interno de encomienda</t>
  </si>
  <si>
    <t>SCRUM-121</t>
  </si>
  <si>
    <t>Consultar estado interno de una encomienda</t>
  </si>
  <si>
    <t>SCRUM-122</t>
  </si>
  <si>
    <t>Consultar historial de movimientos de una encomienda</t>
  </si>
  <si>
    <t>SCRUM-123</t>
  </si>
  <si>
    <t>Registrar recepción de encomienda en punto de origen</t>
  </si>
  <si>
    <t>SCRUM-124</t>
  </si>
  <si>
    <t>Registrar entrega de encomienda en punto de destino</t>
  </si>
  <si>
    <t>SCRUM-125</t>
  </si>
  <si>
    <t>Marcar encomienda como pendiente, en tránsito, entregada o con incidencia</t>
  </si>
  <si>
    <t>SCRUM-126</t>
  </si>
  <si>
    <t>Buscar encomiendas por código, cliente o ruta</t>
  </si>
  <si>
    <t>SCRUM-127</t>
  </si>
  <si>
    <t>Generar comprobante interno de recepción o entrega</t>
  </si>
  <si>
    <t>SCRUM-128</t>
  </si>
  <si>
    <t>Asociar incidencia a una encomienda</t>
  </si>
  <si>
    <t>Subtotal EP10 — 13 historias</t>
  </si>
  <si>
    <t>Total Product Backlog — 118 historias</t>
  </si>
  <si>
    <t>Subtotal EP01 — 3 historias</t>
  </si>
  <si>
    <t>Subtotal EP02 — 5 historias</t>
  </si>
  <si>
    <t>Subtotal EP03 — 5 historias</t>
  </si>
  <si>
    <t>Subtotal EP04 — 7 historias</t>
  </si>
  <si>
    <t>Subtotal EP06 — 6 historias</t>
  </si>
  <si>
    <t>Subtotal EP09 — 6 historias</t>
  </si>
  <si>
    <t>Subtotal EP10 — 9 historias</t>
  </si>
  <si>
    <t>Total MVP — 41 historias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</si>
</sst>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\Q#,##0"/>
    <numFmt numFmtId="165" formatCode="0.0%"/>
    <numFmt numFmtId="166" formatCode="\Q#,##0.00"/>
    <numFmt numFmtId="167" formatCode="_-&quot;Q&quot;* #,##0.00_-;\-&quot;Q&quot;* #,##0.00_-;_-&quot;Q&quot;* &quot;-&quot;??_-;_-@"/>
    <numFmt numFmtId="168" formatCode="&quot;Q&quot;#,##0.00"/>
    <numFmt numFmtId="169" formatCode="[$Q]#,##0.00"/>
    <numFmt numFmtId="170" formatCode="0.0"/>
    <numFmt numFmtId="171" formatCode="d.m"/>
    <numFmt numFmtId="172" formatCode="0.00&quot; m&quot;"/>
  </numFmts>
  <fonts count="44">
    <font>
      <sz val="11.0"/>
      <color theme="1"/>
      <name val="Calibri"/>
      <scheme val="minor"/>
    </font>
    <font>
      <b/>
      <sz val="16.0"/>
      <color rgb="FFF0C040"/>
      <name val="Arial"/>
    </font>
    <font/>
    <font>
      <sz val="11.0"/>
      <color theme="1"/>
      <name val="Calibri"/>
    </font>
    <font>
      <i/>
      <color rgb="FF8B949E"/>
      <name val="Arial"/>
    </font>
    <font>
      <b/>
      <color rgb="FFF0C040"/>
      <name val="Arial"/>
    </font>
    <font>
      <b/>
      <color rgb="FFE6EDF3"/>
      <name val="Arial"/>
    </font>
    <font>
      <b/>
      <color rgb="FFFFFFFF"/>
      <name val="Arial"/>
    </font>
    <font>
      <color rgb="FFE6EDF3"/>
      <name val="Arial"/>
    </font>
    <font>
      <color rgb="FF3FB950"/>
      <name val="Arial"/>
    </font>
    <font>
      <color rgb="FF58A6FF"/>
      <name val="Arial"/>
    </font>
    <font>
      <b/>
      <color rgb="FF58A6FF"/>
      <name val="Arial"/>
    </font>
    <font>
      <color rgb="FFF0C040"/>
      <name val="Arial"/>
    </font>
    <font>
      <color rgb="FF60A5FA"/>
      <name val="Arial"/>
    </font>
    <font>
      <b/>
      <sz val="9.0"/>
      <color rgb="FFF0C040"/>
      <name val="Arial"/>
    </font>
    <font>
      <sz val="9.0"/>
      <color rgb="FFE6EDF3"/>
      <name val="Arial"/>
    </font>
    <font>
      <i/>
      <color rgb="FFFFFFFF"/>
      <name val="Arial"/>
    </font>
    <font>
      <b/>
      <sz val="14.0"/>
      <color rgb="FFF0C040"/>
      <name val="Arial"/>
    </font>
    <font>
      <b/>
      <sz val="10.0"/>
      <color rgb="FFF0C040"/>
      <name val="Arial"/>
    </font>
    <font>
      <sz val="10.0"/>
      <color rgb="FFE6EDF3"/>
      <name val="Arial"/>
    </font>
    <font>
      <b/>
      <sz val="10.0"/>
      <color rgb="FF3FB950"/>
      <name val="Arial"/>
    </font>
    <font>
      <i/>
      <sz val="9.0"/>
      <color rgb="FF8B949E"/>
      <name val="Arial"/>
    </font>
    <font>
      <i/>
      <sz val="8.0"/>
      <color rgb="FF8B949E"/>
      <name val="Arial"/>
    </font>
    <font>
      <b/>
      <sz val="11.0"/>
      <color rgb="FFF0C040"/>
      <name val="Arial"/>
    </font>
    <font>
      <b/>
      <sz val="10.0"/>
      <color rgb="FF58A6FF"/>
      <name val="Arial"/>
    </font>
    <font>
      <sz val="10.0"/>
      <color theme="0"/>
      <name val="Arial"/>
    </font>
    <font>
      <b/>
      <sz val="10.0"/>
      <color rgb="FF00B050"/>
      <name val="Arial"/>
    </font>
    <font>
      <i/>
      <sz val="9.0"/>
      <color rgb="FF00B050"/>
      <name val="Arial"/>
    </font>
    <font>
      <sz val="11.0"/>
      <color theme="0"/>
      <name val="Calibri"/>
    </font>
    <font>
      <color rgb="FFFFFFFF"/>
      <name val="Calibri"/>
      <scheme val="minor"/>
    </font>
    <font>
      <b/>
      <sz val="14.0"/>
      <color rgb="FFFFFFFF"/>
      <name val="Arial"/>
    </font>
    <font>
      <i/>
      <color theme="1"/>
      <name val="Arial"/>
    </font>
    <font>
      <b/>
      <sz val="13.0"/>
      <color rgb="FFFFFFFF"/>
      <name val="Arial"/>
    </font>
    <font>
      <i/>
      <sz val="9.0"/>
      <color rgb="FF595959"/>
      <name val="Arial"/>
    </font>
    <font>
      <b/>
      <color theme="1"/>
      <name val="Arial"/>
    </font>
    <font>
      <color theme="1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i/>
      <sz val="11.0"/>
      <color theme="1"/>
      <name val="Arial"/>
    </font>
    <font>
      <sz val="11.0"/>
      <color theme="1"/>
      <name val="Arial"/>
    </font>
    <font>
      <sz val="10.0"/>
      <color rgb="FF58A6FF"/>
      <name val="Arial"/>
    </font>
    <font>
      <sz val="10.0"/>
      <color rgb="FFF0C040"/>
      <name val="Arial"/>
    </font>
    <font>
      <b/>
      <sz val="11.0"/>
      <color rgb="FF3FB950"/>
      <name val="Arial"/>
    </font>
    <font>
      <color theme="1"/>
      <name val="Calibri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  <fill>
      <patternFill patternType="solid">
        <fgColor rgb="FF161B22"/>
        <bgColor rgb="FF161B22"/>
      </patternFill>
    </fill>
    <fill>
      <patternFill patternType="solid">
        <fgColor rgb="FF1F3A5F"/>
        <bgColor rgb="FF1F3A5F"/>
      </patternFill>
    </fill>
    <fill>
      <patternFill patternType="solid">
        <fgColor rgb="FF14432A"/>
        <bgColor rgb="FF14432A"/>
      </patternFill>
    </fill>
    <fill>
      <patternFill patternType="solid">
        <fgColor rgb="FF3D1A5C"/>
        <bgColor rgb="FF3D1A5C"/>
      </patternFill>
    </fill>
    <fill>
      <patternFill patternType="solid">
        <fgColor rgb="FF7030A0"/>
        <bgColor rgb="FF7030A0"/>
      </patternFill>
    </fill>
    <fill>
      <patternFill patternType="solid">
        <fgColor rgb="FF1F4E78"/>
        <bgColor rgb="FF1F4E78"/>
      </patternFill>
    </fill>
    <fill>
      <patternFill patternType="solid">
        <fgColor rgb="FF21262D"/>
        <bgColor rgb="FF21262D"/>
      </patternFill>
    </fill>
    <fill>
      <patternFill patternType="solid">
        <fgColor rgb="FF1C2128"/>
        <bgColor rgb="FF1C2128"/>
      </patternFill>
    </fill>
    <fill>
      <patternFill patternType="solid">
        <fgColor rgb="FF0D1116"/>
        <bgColor rgb="FF0D1116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FCE4D6"/>
        <bgColor rgb="FFFCE4D6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385723"/>
        <bgColor rgb="FF385723"/>
      </patternFill>
    </fill>
    <fill>
      <patternFill patternType="solid">
        <fgColor rgb="FF4472C4"/>
        <bgColor rgb="FF4472C4"/>
      </patternFill>
    </fill>
    <fill>
      <patternFill patternType="solid">
        <fgColor rgb="FFBF8F00"/>
        <bgColor rgb="FFBF8F0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30363D"/>
      </bottom>
    </border>
    <border>
      <left/>
      <top/>
      <bottom style="thin">
        <color rgb="FF30363D"/>
      </bottom>
    </border>
    <border>
      <left/>
      <right/>
      <bottom/>
    </border>
    <border>
      <top/>
      <bottom style="thin">
        <color rgb="FF30363D"/>
      </bottom>
    </border>
    <border>
      <right/>
      <top/>
      <bottom style="thin">
        <color rgb="FF30363D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horizontal="center"/>
    </xf>
    <xf borderId="1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3" fillId="2" fontId="3" numFmtId="0" xfId="0" applyAlignment="1" applyBorder="1" applyFont="1">
      <alignment vertical="bottom"/>
    </xf>
    <xf borderId="5" fillId="3" fontId="5" numFmtId="0" xfId="0" applyBorder="1" applyFill="1" applyFont="1"/>
    <xf borderId="5" fillId="4" fontId="6" numFmtId="0" xfId="0" applyAlignment="1" applyBorder="1" applyFill="1" applyFont="1">
      <alignment horizontal="center"/>
    </xf>
    <xf borderId="5" fillId="5" fontId="6" numFmtId="0" xfId="0" applyAlignment="1" applyBorder="1" applyFill="1" applyFont="1">
      <alignment horizontal="center"/>
    </xf>
    <xf borderId="6" fillId="6" fontId="6" numFmtId="0" xfId="0" applyAlignment="1" applyBorder="1" applyFill="1" applyFont="1">
      <alignment horizontal="center"/>
    </xf>
    <xf borderId="0" fillId="7" fontId="7" numFmtId="0" xfId="0" applyAlignment="1" applyFill="1" applyFont="1">
      <alignment horizontal="center" shrinkToFit="0" wrapText="1"/>
    </xf>
    <xf borderId="0" fillId="8" fontId="7" numFmtId="0" xfId="0" applyAlignment="1" applyFill="1" applyFont="1">
      <alignment horizontal="center" shrinkToFit="0" wrapText="1"/>
    </xf>
    <xf borderId="4" fillId="9" fontId="8" numFmtId="0" xfId="0" applyBorder="1" applyFill="1" applyFont="1"/>
    <xf borderId="4" fillId="9" fontId="9" numFmtId="0" xfId="0" applyAlignment="1" applyBorder="1" applyFont="1">
      <alignment horizontal="center"/>
    </xf>
    <xf borderId="1" fillId="9" fontId="9" numFmtId="0" xfId="0" applyAlignment="1" applyBorder="1" applyFont="1">
      <alignment horizontal="center"/>
    </xf>
    <xf borderId="0" fillId="9" fontId="9" numFmtId="0" xfId="0" applyAlignment="1" applyFont="1">
      <alignment horizontal="right"/>
    </xf>
    <xf borderId="4" fillId="10" fontId="8" numFmtId="0" xfId="0" applyBorder="1" applyFill="1" applyFont="1"/>
    <xf borderId="4" fillId="10" fontId="9" numFmtId="0" xfId="0" applyAlignment="1" applyBorder="1" applyFont="1">
      <alignment horizontal="center"/>
    </xf>
    <xf borderId="1" fillId="10" fontId="9" numFmtId="0" xfId="0" applyAlignment="1" applyBorder="1" applyFont="1">
      <alignment horizontal="center"/>
    </xf>
    <xf borderId="0" fillId="10" fontId="9" numFmtId="0" xfId="0" applyAlignment="1" applyFont="1">
      <alignment horizontal="right"/>
    </xf>
    <xf borderId="4" fillId="9" fontId="10" numFmtId="164" xfId="0" applyAlignment="1" applyBorder="1" applyFont="1" applyNumberFormat="1">
      <alignment horizontal="right"/>
    </xf>
    <xf borderId="1" fillId="9" fontId="10" numFmtId="164" xfId="0" applyAlignment="1" applyBorder="1" applyFont="1" applyNumberFormat="1">
      <alignment horizontal="right"/>
    </xf>
    <xf borderId="0" fillId="9" fontId="10" numFmtId="164" xfId="0" applyAlignment="1" applyFont="1" applyNumberFormat="1">
      <alignment horizontal="right"/>
    </xf>
    <xf borderId="4" fillId="10" fontId="10" numFmtId="164" xfId="0" applyAlignment="1" applyBorder="1" applyFont="1" applyNumberFormat="1">
      <alignment horizontal="right"/>
    </xf>
    <xf borderId="1" fillId="10" fontId="10" numFmtId="164" xfId="0" applyAlignment="1" applyBorder="1" applyFont="1" applyNumberFormat="1">
      <alignment horizontal="right"/>
    </xf>
    <xf borderId="0" fillId="10" fontId="10" numFmtId="164" xfId="0" applyAlignment="1" applyFont="1" applyNumberFormat="1">
      <alignment horizontal="right"/>
    </xf>
    <xf borderId="4" fillId="9" fontId="11" numFmtId="164" xfId="0" applyAlignment="1" applyBorder="1" applyFont="1" applyNumberFormat="1">
      <alignment horizontal="right"/>
    </xf>
    <xf borderId="1" fillId="9" fontId="11" numFmtId="164" xfId="0" applyAlignment="1" applyBorder="1" applyFont="1" applyNumberFormat="1">
      <alignment horizontal="right"/>
    </xf>
    <xf borderId="4" fillId="10" fontId="5" numFmtId="165" xfId="0" applyAlignment="1" applyBorder="1" applyFont="1" applyNumberFormat="1">
      <alignment horizontal="right"/>
    </xf>
    <xf borderId="1" fillId="10" fontId="5" numFmtId="10" xfId="0" applyAlignment="1" applyBorder="1" applyFont="1" applyNumberFormat="1">
      <alignment horizontal="right"/>
    </xf>
    <xf borderId="0" fillId="10" fontId="12" numFmtId="165" xfId="0" applyAlignment="1" applyFont="1" applyNumberFormat="1">
      <alignment horizontal="right"/>
    </xf>
    <xf borderId="0" fillId="10" fontId="13" numFmtId="164" xfId="0" applyAlignment="1" applyFont="1" applyNumberFormat="1">
      <alignment horizontal="right"/>
    </xf>
    <xf borderId="7" fillId="2" fontId="3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4" fillId="10" fontId="14" numFmtId="0" xfId="0" applyAlignment="1" applyBorder="1" applyFont="1">
      <alignment vertical="bottom"/>
    </xf>
    <xf borderId="1" fillId="10" fontId="15" numFmtId="0" xfId="0" applyAlignment="1" applyBorder="1" applyFont="1">
      <alignment shrinkToFit="0" wrapText="1"/>
    </xf>
    <xf borderId="4" fillId="10" fontId="5" numFmtId="0" xfId="0" applyAlignment="1" applyBorder="1" applyFont="1">
      <alignment vertical="bottom"/>
    </xf>
    <xf borderId="1" fillId="10" fontId="16" numFmtId="0" xfId="0" applyAlignment="1" applyBorder="1" applyFont="1">
      <alignment shrinkToFit="0" vertical="top" wrapText="1"/>
    </xf>
    <xf borderId="1" fillId="2" fontId="17" numFmtId="0" xfId="0" applyAlignment="1" applyBorder="1" applyFont="1">
      <alignment horizontal="center" vertical="center"/>
    </xf>
    <xf borderId="4" fillId="2" fontId="3" numFmtId="0" xfId="0" applyBorder="1" applyFont="1"/>
    <xf borderId="6" fillId="10" fontId="18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4" fillId="10" fontId="19" numFmtId="0" xfId="0" applyAlignment="1" applyBorder="1" applyFont="1">
      <alignment horizontal="left" vertical="center"/>
    </xf>
    <xf borderId="4" fillId="9" fontId="20" numFmtId="164" xfId="0" applyAlignment="1" applyBorder="1" applyFont="1" applyNumberFormat="1">
      <alignment horizontal="right" vertical="center"/>
    </xf>
    <xf borderId="4" fillId="10" fontId="21" numFmtId="0" xfId="0" applyBorder="1" applyFont="1"/>
    <xf borderId="1" fillId="2" fontId="22" numFmtId="0" xfId="0" applyBorder="1" applyFont="1"/>
    <xf borderId="4" fillId="9" fontId="18" numFmtId="0" xfId="0" applyAlignment="1" applyBorder="1" applyFont="1">
      <alignment horizontal="right" readingOrder="0" vertical="center"/>
    </xf>
    <xf borderId="4" fillId="9" fontId="18" numFmtId="0" xfId="0" applyAlignment="1" applyBorder="1" applyFont="1">
      <alignment horizontal="right" vertical="center"/>
    </xf>
    <xf borderId="4" fillId="10" fontId="3" numFmtId="0" xfId="0" applyBorder="1" applyFont="1"/>
    <xf borderId="4" fillId="3" fontId="18" numFmtId="0" xfId="0" applyAlignment="1" applyBorder="1" applyFont="1">
      <alignment horizontal="left" vertical="center"/>
    </xf>
    <xf borderId="4" fillId="3" fontId="23" numFmtId="1" xfId="0" applyAlignment="1" applyBorder="1" applyFont="1" applyNumberFormat="1">
      <alignment horizontal="right" readingOrder="0" vertical="center"/>
    </xf>
    <xf borderId="4" fillId="3" fontId="21" numFmtId="0" xfId="0" applyBorder="1" applyFont="1"/>
    <xf borderId="4" fillId="9" fontId="24" numFmtId="1" xfId="0" applyAlignment="1" applyBorder="1" applyFont="1" applyNumberFormat="1">
      <alignment horizontal="right" vertical="center"/>
    </xf>
    <xf borderId="4" fillId="10" fontId="19" numFmtId="0" xfId="0" applyAlignment="1" applyBorder="1" applyFont="1">
      <alignment horizontal="left" readingOrder="0" vertical="center"/>
    </xf>
    <xf borderId="4" fillId="9" fontId="24" numFmtId="49" xfId="0" applyAlignment="1" applyBorder="1" applyFont="1" applyNumberFormat="1">
      <alignment horizontal="right" readingOrder="0" vertical="center"/>
    </xf>
    <xf borderId="4" fillId="10" fontId="21" numFmtId="0" xfId="0" applyAlignment="1" applyBorder="1" applyFont="1">
      <alignment readingOrder="0"/>
    </xf>
    <xf borderId="4" fillId="2" fontId="22" numFmtId="0" xfId="0" applyBorder="1" applyFont="1"/>
    <xf borderId="4" fillId="9" fontId="24" numFmtId="164" xfId="0" applyAlignment="1" applyBorder="1" applyFont="1" applyNumberFormat="1">
      <alignment horizontal="right" vertical="center"/>
    </xf>
    <xf borderId="4" fillId="2" fontId="3" numFmtId="0" xfId="0" applyAlignment="1" applyBorder="1" applyFont="1">
      <alignment readingOrder="0"/>
    </xf>
    <xf borderId="4" fillId="9" fontId="24" numFmtId="165" xfId="0" applyAlignment="1" applyBorder="1" applyFont="1" applyNumberFormat="1">
      <alignment horizontal="right" vertical="center"/>
    </xf>
    <xf borderId="4" fillId="9" fontId="24" numFmtId="166" xfId="0" applyAlignment="1" applyBorder="1" applyFont="1" applyNumberFormat="1">
      <alignment horizontal="right" vertical="center"/>
    </xf>
    <xf borderId="4" fillId="10" fontId="25" numFmtId="0" xfId="0" applyAlignment="1" applyBorder="1" applyFont="1">
      <alignment horizontal="left" vertical="center"/>
    </xf>
    <xf borderId="1" fillId="2" fontId="22" numFmtId="0" xfId="0" applyAlignment="1" applyBorder="1" applyFont="1">
      <alignment readingOrder="0"/>
    </xf>
    <xf borderId="4" fillId="9" fontId="18" numFmtId="2" xfId="0" applyAlignment="1" applyBorder="1" applyFont="1" applyNumberFormat="1">
      <alignment horizontal="right" vertical="center"/>
    </xf>
    <xf borderId="4" fillId="10" fontId="21" numFmtId="9" xfId="0" applyBorder="1" applyFont="1" applyNumberFormat="1"/>
    <xf borderId="4" fillId="9" fontId="26" numFmtId="1" xfId="0" applyAlignment="1" applyBorder="1" applyFont="1" applyNumberFormat="1">
      <alignment horizontal="right" readingOrder="0" vertical="center"/>
    </xf>
    <xf borderId="4" fillId="10" fontId="27" numFmtId="0" xfId="0" applyBorder="1" applyFont="1"/>
    <xf borderId="4" fillId="11" fontId="3" numFmtId="0" xfId="0" applyBorder="1" applyFill="1" applyFont="1"/>
    <xf borderId="4" fillId="9" fontId="18" numFmtId="1" xfId="0" applyAlignment="1" applyBorder="1" applyFont="1" applyNumberFormat="1">
      <alignment horizontal="right" vertical="center"/>
    </xf>
    <xf borderId="5" fillId="10" fontId="18" numFmtId="0" xfId="0" applyAlignment="1" applyBorder="1" applyFont="1">
      <alignment horizontal="left" vertical="center"/>
    </xf>
    <xf borderId="4" fillId="9" fontId="18" numFmtId="167" xfId="0" applyAlignment="1" applyBorder="1" applyFont="1" applyNumberFormat="1">
      <alignment horizontal="right" vertical="center"/>
    </xf>
    <xf borderId="4" fillId="2" fontId="28" numFmtId="167" xfId="0" applyBorder="1" applyFont="1" applyNumberFormat="1"/>
    <xf borderId="4" fillId="9" fontId="20" numFmtId="2" xfId="0" applyAlignment="1" applyBorder="1" applyFont="1" applyNumberFormat="1">
      <alignment horizontal="right" readingOrder="0" vertical="center"/>
    </xf>
    <xf borderId="4" fillId="9" fontId="24" numFmtId="168" xfId="0" applyAlignment="1" applyBorder="1" applyFont="1" applyNumberFormat="1">
      <alignment horizontal="right" vertical="center"/>
    </xf>
    <xf borderId="4" fillId="9" fontId="20" numFmtId="168" xfId="0" applyAlignment="1" applyBorder="1" applyFont="1" applyNumberFormat="1">
      <alignment horizontal="right" vertical="center"/>
    </xf>
    <xf borderId="4" fillId="9" fontId="24" numFmtId="10" xfId="0" applyAlignment="1" applyBorder="1" applyFont="1" applyNumberFormat="1">
      <alignment horizontal="right" vertical="center"/>
    </xf>
    <xf borderId="4" fillId="9" fontId="18" numFmtId="169" xfId="0" applyAlignment="1" applyBorder="1" applyFont="1" applyNumberFormat="1">
      <alignment horizontal="right" readingOrder="0" vertical="center"/>
    </xf>
    <xf borderId="4" fillId="9" fontId="24" numFmtId="1" xfId="0" applyAlignment="1" applyBorder="1" applyFont="1" applyNumberFormat="1">
      <alignment horizontal="right" readingOrder="0" vertical="center"/>
    </xf>
    <xf borderId="4" fillId="9" fontId="24" numFmtId="170" xfId="0" applyAlignment="1" applyBorder="1" applyFont="1" applyNumberFormat="1">
      <alignment horizontal="right" vertical="center"/>
    </xf>
    <xf borderId="0" fillId="2" fontId="29" numFmtId="0" xfId="0" applyAlignment="1" applyFont="1">
      <alignment readingOrder="0"/>
    </xf>
    <xf borderId="0" fillId="2" fontId="29" numFmtId="0" xfId="0" applyFont="1"/>
    <xf borderId="0" fillId="2" fontId="29" numFmtId="164" xfId="0" applyAlignment="1" applyFont="1" applyNumberFormat="1">
      <alignment readingOrder="0"/>
    </xf>
    <xf borderId="0" fillId="2" fontId="29" numFmtId="171" xfId="0" applyAlignment="1" applyFont="1" applyNumberFormat="1">
      <alignment readingOrder="0"/>
    </xf>
    <xf borderId="0" fillId="2" fontId="29" numFmtId="1" xfId="0" applyAlignment="1" applyFont="1" applyNumberFormat="1">
      <alignment readingOrder="0"/>
    </xf>
    <xf borderId="0" fillId="2" fontId="29" numFmtId="169" xfId="0" applyAlignment="1" applyFont="1" applyNumberFormat="1">
      <alignment readingOrder="0"/>
    </xf>
    <xf borderId="0" fillId="2" fontId="29" numFmtId="169" xfId="0" applyFont="1" applyNumberFormat="1"/>
    <xf borderId="1" fillId="8" fontId="30" numFmtId="0" xfId="0" applyAlignment="1" applyBorder="1" applyFont="1">
      <alignment horizontal="center" shrinkToFit="0" wrapText="1"/>
    </xf>
    <xf borderId="0" fillId="0" fontId="31" numFmtId="0" xfId="0" applyAlignment="1" applyFont="1">
      <alignment horizontal="center" shrinkToFit="0" wrapText="1"/>
    </xf>
    <xf borderId="1" fillId="12" fontId="32" numFmtId="0" xfId="0" applyAlignment="1" applyBorder="1" applyFill="1" applyFont="1">
      <alignment readingOrder="0" shrinkToFit="0" wrapText="1"/>
    </xf>
    <xf borderId="0" fillId="0" fontId="33" numFmtId="0" xfId="0" applyAlignment="1" applyFont="1">
      <alignment shrinkToFit="0" wrapText="1"/>
    </xf>
    <xf borderId="10" fillId="13" fontId="34" numFmtId="0" xfId="0" applyAlignment="1" applyBorder="1" applyFill="1" applyFont="1">
      <alignment horizontal="center" shrinkToFit="0" wrapText="1"/>
    </xf>
    <xf borderId="10" fillId="13" fontId="3" numFmtId="0" xfId="0" applyBorder="1" applyFont="1"/>
    <xf borderId="10" fillId="0" fontId="35" numFmtId="0" xfId="0" applyAlignment="1" applyBorder="1" applyFont="1">
      <alignment shrinkToFit="0" wrapText="1"/>
    </xf>
    <xf borderId="10" fillId="14" fontId="3" numFmtId="164" xfId="0" applyAlignment="1" applyBorder="1" applyFill="1" applyFont="1" applyNumberFormat="1">
      <alignment horizontal="right"/>
    </xf>
    <xf borderId="10" fillId="14" fontId="3" numFmtId="2" xfId="0" applyAlignment="1" applyBorder="1" applyFont="1" applyNumberFormat="1">
      <alignment horizontal="center" shrinkToFit="0" wrapText="1"/>
    </xf>
    <xf borderId="10" fillId="15" fontId="3" numFmtId="164" xfId="0" applyAlignment="1" applyBorder="1" applyFill="1" applyFont="1" applyNumberFormat="1">
      <alignment horizontal="right"/>
    </xf>
    <xf borderId="10" fillId="0" fontId="33" numFmtId="0" xfId="0" applyAlignment="1" applyBorder="1" applyFont="1">
      <alignment vertical="bottom"/>
    </xf>
    <xf borderId="10" fillId="16" fontId="34" numFmtId="0" xfId="0" applyAlignment="1" applyBorder="1" applyFill="1" applyFont="1">
      <alignment shrinkToFit="0" wrapText="1"/>
    </xf>
    <xf borderId="10" fillId="16" fontId="3" numFmtId="0" xfId="0" applyAlignment="1" applyBorder="1" applyFont="1">
      <alignment vertical="bottom"/>
    </xf>
    <xf borderId="10" fillId="16" fontId="34" numFmtId="164" xfId="0" applyAlignment="1" applyBorder="1" applyFont="1" applyNumberFormat="1">
      <alignment horizontal="right"/>
    </xf>
    <xf borderId="10" fillId="14" fontId="3" numFmtId="170" xfId="0" applyAlignment="1" applyBorder="1" applyFont="1" applyNumberFormat="1">
      <alignment horizontal="right"/>
    </xf>
    <xf borderId="10" fillId="0" fontId="35" numFmtId="0" xfId="0" applyAlignment="1" applyBorder="1" applyFont="1">
      <alignment horizontal="center" shrinkToFit="0" wrapText="1"/>
    </xf>
    <xf borderId="10" fillId="12" fontId="36" numFmtId="0" xfId="0" applyAlignment="1" applyBorder="1" applyFont="1">
      <alignment shrinkToFit="0" wrapText="1"/>
    </xf>
    <xf borderId="10" fillId="12" fontId="36" numFmtId="164" xfId="0" applyAlignment="1" applyBorder="1" applyFont="1" applyNumberFormat="1">
      <alignment horizontal="right"/>
    </xf>
    <xf borderId="10" fillId="12" fontId="3" numFmtId="0" xfId="0" applyAlignment="1" applyBorder="1" applyFont="1">
      <alignment vertical="bottom"/>
    </xf>
    <xf borderId="1" fillId="17" fontId="32" numFmtId="0" xfId="0" applyAlignment="1" applyBorder="1" applyFill="1" applyFont="1">
      <alignment readingOrder="0" shrinkToFit="0" wrapText="1"/>
    </xf>
    <xf borderId="10" fillId="18" fontId="3" numFmtId="164" xfId="0" applyAlignment="1" applyBorder="1" applyFill="1" applyFont="1" applyNumberFormat="1">
      <alignment horizontal="right"/>
    </xf>
    <xf borderId="10" fillId="0" fontId="3" numFmtId="0" xfId="0" applyAlignment="1" applyBorder="1" applyFont="1">
      <alignment horizontal="center" shrinkToFit="0" wrapText="1"/>
    </xf>
    <xf borderId="10" fillId="18" fontId="3" numFmtId="1" xfId="0" applyAlignment="1" applyBorder="1" applyFont="1" applyNumberFormat="1">
      <alignment horizontal="right"/>
    </xf>
    <xf borderId="10" fillId="17" fontId="36" numFmtId="0" xfId="0" applyAlignment="1" applyBorder="1" applyFont="1">
      <alignment shrinkToFit="0" wrapText="1"/>
    </xf>
    <xf borderId="10" fillId="17" fontId="36" numFmtId="164" xfId="0" applyAlignment="1" applyBorder="1" applyFont="1" applyNumberFormat="1">
      <alignment horizontal="right"/>
    </xf>
    <xf borderId="10" fillId="17" fontId="3" numFmtId="0" xfId="0" applyAlignment="1" applyBorder="1" applyFont="1">
      <alignment vertical="bottom"/>
    </xf>
    <xf borderId="1" fillId="19" fontId="32" numFmtId="0" xfId="0" applyAlignment="1" applyBorder="1" applyFill="1" applyFont="1">
      <alignment readingOrder="0" shrinkToFit="0" wrapText="1"/>
    </xf>
    <xf borderId="10" fillId="19" fontId="36" numFmtId="0" xfId="0" applyAlignment="1" applyBorder="1" applyFont="1">
      <alignment shrinkToFit="0" wrapText="1"/>
    </xf>
    <xf borderId="10" fillId="19" fontId="36" numFmtId="164" xfId="0" applyAlignment="1" applyBorder="1" applyFont="1" applyNumberFormat="1">
      <alignment horizontal="right"/>
    </xf>
    <xf borderId="10" fillId="19" fontId="3" numFmtId="0" xfId="0" applyAlignment="1" applyBorder="1" applyFont="1">
      <alignment vertical="bottom"/>
    </xf>
    <xf borderId="1" fillId="7" fontId="32" numFmtId="0" xfId="0" applyAlignment="1" applyBorder="1" applyFont="1">
      <alignment readingOrder="0" shrinkToFit="0" wrapText="1"/>
    </xf>
    <xf borderId="10" fillId="7" fontId="36" numFmtId="0" xfId="0" applyAlignment="1" applyBorder="1" applyFont="1">
      <alignment shrinkToFit="0" wrapText="1"/>
    </xf>
    <xf borderId="10" fillId="7" fontId="36" numFmtId="164" xfId="0" applyAlignment="1" applyBorder="1" applyFont="1" applyNumberFormat="1">
      <alignment horizontal="right"/>
    </xf>
    <xf borderId="10" fillId="7" fontId="3" numFmtId="0" xfId="0" applyAlignment="1" applyBorder="1" applyFont="1">
      <alignment vertical="bottom"/>
    </xf>
    <xf borderId="1" fillId="20" fontId="32" numFmtId="0" xfId="0" applyAlignment="1" applyBorder="1" applyFill="1" applyFont="1">
      <alignment readingOrder="0" shrinkToFit="0" wrapText="1"/>
    </xf>
    <xf borderId="10" fillId="0" fontId="35" numFmtId="0" xfId="0" applyAlignment="1" applyBorder="1" applyFont="1">
      <alignment readingOrder="0" shrinkToFit="0" wrapText="1"/>
    </xf>
    <xf borderId="10" fillId="18" fontId="3" numFmtId="172" xfId="0" applyAlignment="1" applyBorder="1" applyFont="1" applyNumberFormat="1">
      <alignment horizontal="center" shrinkToFit="0" wrapText="1"/>
    </xf>
    <xf borderId="10" fillId="16" fontId="37" numFmtId="164" xfId="0" applyAlignment="1" applyBorder="1" applyFont="1" applyNumberFormat="1">
      <alignment horizontal="right"/>
    </xf>
    <xf borderId="10" fillId="16" fontId="37" numFmtId="172" xfId="0" applyAlignment="1" applyBorder="1" applyFont="1" applyNumberFormat="1">
      <alignment horizontal="center" shrinkToFit="0" wrapText="1"/>
    </xf>
    <xf borderId="1" fillId="21" fontId="36" numFmtId="0" xfId="0" applyAlignment="1" applyBorder="1" applyFill="1" applyFont="1">
      <alignment readingOrder="0" shrinkToFit="0" wrapText="1"/>
    </xf>
    <xf borderId="10" fillId="14" fontId="3" numFmtId="165" xfId="0" applyAlignment="1" applyBorder="1" applyFont="1" applyNumberFormat="1">
      <alignment horizontal="right" readingOrder="0"/>
    </xf>
    <xf borderId="10" fillId="16" fontId="37" numFmtId="165" xfId="0" applyAlignment="1" applyBorder="1" applyFont="1" applyNumberFormat="1">
      <alignment horizontal="right"/>
    </xf>
    <xf borderId="1" fillId="8" fontId="30" numFmtId="0" xfId="0" applyAlignment="1" applyBorder="1" applyFont="1">
      <alignment horizontal="center" shrinkToFit="0" vertical="bottom" wrapText="1"/>
    </xf>
    <xf borderId="0" fillId="0" fontId="38" numFmtId="0" xfId="0" applyAlignment="1" applyFont="1">
      <alignment horizontal="center" shrinkToFit="0" vertical="bottom" wrapText="1"/>
    </xf>
    <xf borderId="1" fillId="12" fontId="36" numFmtId="0" xfId="0" applyAlignment="1" applyBorder="1" applyFont="1">
      <alignment shrinkToFit="0" vertical="bottom" wrapText="1"/>
    </xf>
    <xf borderId="10" fillId="13" fontId="37" numFmtId="0" xfId="0" applyAlignment="1" applyBorder="1" applyFont="1">
      <alignment horizontal="center" shrinkToFit="0" vertical="bottom" wrapText="1"/>
    </xf>
    <xf borderId="10" fillId="17" fontId="36" numFmtId="0" xfId="0" applyAlignment="1" applyBorder="1" applyFont="1">
      <alignment horizontal="center" shrinkToFit="0" vertical="bottom" wrapText="1"/>
    </xf>
    <xf borderId="10" fillId="22" fontId="36" numFmtId="0" xfId="0" applyAlignment="1" applyBorder="1" applyFill="1" applyFont="1">
      <alignment horizontal="center" shrinkToFit="0" vertical="bottom" wrapText="1"/>
    </xf>
    <xf borderId="10" fillId="19" fontId="36" numFmtId="0" xfId="0" applyAlignment="1" applyBorder="1" applyFont="1">
      <alignment horizontal="center" shrinkToFit="0" vertical="bottom" wrapText="1"/>
    </xf>
    <xf borderId="10" fillId="7" fontId="36" numFmtId="0" xfId="0" applyAlignment="1" applyBorder="1" applyFont="1">
      <alignment horizontal="center" shrinkToFit="0" vertical="bottom" wrapText="1"/>
    </xf>
    <xf borderId="10" fillId="8" fontId="7" numFmtId="0" xfId="0" applyAlignment="1" applyBorder="1" applyFont="1">
      <alignment horizontal="center" shrinkToFit="0" wrapText="1"/>
    </xf>
    <xf borderId="10" fillId="0" fontId="39" numFmtId="0" xfId="0" applyAlignment="1" applyBorder="1" applyFont="1">
      <alignment shrinkToFit="0" vertical="bottom" wrapText="1"/>
    </xf>
    <xf borderId="10" fillId="18" fontId="3" numFmtId="164" xfId="0" applyAlignment="1" applyBorder="1" applyFont="1" applyNumberFormat="1">
      <alignment horizontal="right" vertical="bottom"/>
    </xf>
    <xf borderId="10" fillId="18" fontId="35" numFmtId="164" xfId="0" applyAlignment="1" applyBorder="1" applyFont="1" applyNumberFormat="1">
      <alignment horizontal="right"/>
    </xf>
    <xf borderId="10" fillId="16" fontId="37" numFmtId="0" xfId="0" applyAlignment="1" applyBorder="1" applyFont="1">
      <alignment shrinkToFit="0" vertical="bottom" wrapText="1"/>
    </xf>
    <xf borderId="10" fillId="16" fontId="37" numFmtId="164" xfId="0" applyAlignment="1" applyBorder="1" applyFont="1" applyNumberFormat="1">
      <alignment horizontal="right" vertical="bottom"/>
    </xf>
    <xf borderId="10" fillId="14" fontId="39" numFmtId="164" xfId="0" applyAlignment="1" applyBorder="1" applyFont="1" applyNumberFormat="1">
      <alignment horizontal="right" vertical="bottom"/>
    </xf>
    <xf borderId="0" fillId="0" fontId="33" numFmtId="0" xfId="0" applyAlignment="1" applyFont="1">
      <alignment shrinkToFit="0" vertical="bottom" wrapText="1"/>
    </xf>
    <xf borderId="10" fillId="13" fontId="3" numFmtId="0" xfId="0" applyAlignment="1" applyBorder="1" applyFont="1">
      <alignment vertical="bottom"/>
    </xf>
    <xf borderId="10" fillId="14" fontId="3" numFmtId="165" xfId="0" applyAlignment="1" applyBorder="1" applyFont="1" applyNumberFormat="1">
      <alignment horizontal="right" vertical="bottom"/>
    </xf>
    <xf borderId="10" fillId="14" fontId="3" numFmtId="164" xfId="0" applyAlignment="1" applyBorder="1" applyFont="1" applyNumberFormat="1">
      <alignment horizontal="right" vertical="bottom"/>
    </xf>
    <xf borderId="10" fillId="15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10" fillId="0" fontId="3" numFmtId="0" xfId="0" applyAlignment="1" applyBorder="1" applyFont="1">
      <alignment vertical="bottom"/>
    </xf>
    <xf borderId="10" fillId="16" fontId="37" numFmtId="165" xfId="0" applyAlignment="1" applyBorder="1" applyFont="1" applyNumberFormat="1">
      <alignment horizontal="right" vertical="bottom"/>
    </xf>
    <xf borderId="10" fillId="15" fontId="35" numFmtId="164" xfId="0" applyAlignment="1" applyBorder="1" applyFont="1" applyNumberFormat="1">
      <alignment horizontal="right"/>
    </xf>
    <xf borderId="10" fillId="16" fontId="34" numFmtId="165" xfId="0" applyAlignment="1" applyBorder="1" applyFont="1" applyNumberFormat="1">
      <alignment horizontal="right"/>
    </xf>
    <xf borderId="10" fillId="18" fontId="3" numFmtId="165" xfId="0" applyAlignment="1" applyBorder="1" applyFont="1" applyNumberFormat="1">
      <alignment horizontal="right" vertical="bottom"/>
    </xf>
    <xf borderId="10" fillId="18" fontId="35" numFmtId="165" xfId="0" applyAlignment="1" applyBorder="1" applyFont="1" applyNumberFormat="1">
      <alignment horizontal="right"/>
    </xf>
    <xf borderId="10" fillId="16" fontId="37" numFmtId="0" xfId="0" applyAlignment="1" applyBorder="1" applyFont="1">
      <alignment horizontal="center" shrinkToFit="0" vertical="bottom" wrapText="1"/>
    </xf>
    <xf borderId="10" fillId="16" fontId="34" numFmtId="0" xfId="0" applyAlignment="1" applyBorder="1" applyFont="1">
      <alignment horizontal="center" shrinkToFit="0" wrapText="1"/>
    </xf>
    <xf borderId="10" fillId="16" fontId="37" numFmtId="170" xfId="0" applyAlignment="1" applyBorder="1" applyFont="1" applyNumberFormat="1">
      <alignment horizontal="right" vertical="bottom"/>
    </xf>
    <xf borderId="10" fillId="16" fontId="34" numFmtId="2" xfId="0" applyAlignment="1" applyBorder="1" applyFont="1" applyNumberFormat="1">
      <alignment horizontal="right"/>
    </xf>
    <xf borderId="10" fillId="16" fontId="37" numFmtId="169" xfId="0" applyAlignment="1" applyBorder="1" applyFont="1" applyNumberFormat="1">
      <alignment horizontal="right" vertical="bottom"/>
    </xf>
    <xf borderId="10" fillId="16" fontId="34" numFmtId="169" xfId="0" applyAlignment="1" applyBorder="1" applyFont="1" applyNumberFormat="1">
      <alignment horizontal="right"/>
    </xf>
    <xf borderId="5" fillId="3" fontId="14" numFmtId="0" xfId="0" applyAlignment="1" applyBorder="1" applyFont="1">
      <alignment horizontal="center" vertical="center"/>
    </xf>
    <xf borderId="4" fillId="9" fontId="18" numFmtId="0" xfId="0" applyAlignment="1" applyBorder="1" applyFont="1">
      <alignment horizontal="center" vertical="center"/>
    </xf>
    <xf borderId="4" fillId="9" fontId="19" numFmtId="0" xfId="0" applyAlignment="1" applyBorder="1" applyFont="1">
      <alignment horizontal="left" vertical="center"/>
    </xf>
    <xf borderId="4" fillId="9" fontId="40" numFmtId="164" xfId="0" applyAlignment="1" applyBorder="1" applyFont="1" applyNumberFormat="1">
      <alignment horizontal="center" vertical="center"/>
    </xf>
    <xf borderId="4" fillId="9" fontId="41" numFmtId="170" xfId="0" applyAlignment="1" applyBorder="1" applyFont="1" applyNumberFormat="1">
      <alignment horizontal="center" vertical="center"/>
    </xf>
    <xf borderId="4" fillId="9" fontId="40" numFmtId="164" xfId="0" applyAlignment="1" applyBorder="1" applyFont="1" applyNumberFormat="1">
      <alignment horizontal="right" vertical="center"/>
    </xf>
    <xf borderId="4" fillId="10" fontId="18" numFmtId="0" xfId="0" applyAlignment="1" applyBorder="1" applyFont="1">
      <alignment horizontal="center" vertical="center"/>
    </xf>
    <xf borderId="4" fillId="10" fontId="40" numFmtId="164" xfId="0" applyAlignment="1" applyBorder="1" applyFont="1" applyNumberFormat="1">
      <alignment horizontal="center" vertical="center"/>
    </xf>
    <xf borderId="4" fillId="10" fontId="41" numFmtId="170" xfId="0" applyAlignment="1" applyBorder="1" applyFont="1" applyNumberFormat="1">
      <alignment horizontal="center" vertical="center"/>
    </xf>
    <xf borderId="4" fillId="10" fontId="40" numFmtId="164" xfId="0" applyAlignment="1" applyBorder="1" applyFont="1" applyNumberFormat="1">
      <alignment horizontal="right" vertical="center"/>
    </xf>
    <xf borderId="4" fillId="9" fontId="18" numFmtId="0" xfId="0" applyAlignment="1" applyBorder="1" applyFont="1">
      <alignment horizontal="center" readingOrder="0" vertical="center"/>
    </xf>
    <xf borderId="4" fillId="9" fontId="19" numFmtId="0" xfId="0" applyAlignment="1" applyBorder="1" applyFont="1">
      <alignment horizontal="left" readingOrder="0" vertical="center"/>
    </xf>
    <xf borderId="1" fillId="3" fontId="18" numFmtId="0" xfId="0" applyAlignment="1" applyBorder="1" applyFont="1">
      <alignment horizontal="left" vertical="center"/>
    </xf>
    <xf borderId="4" fillId="3" fontId="23" numFmtId="164" xfId="0" applyAlignment="1" applyBorder="1" applyFont="1" applyNumberFormat="1">
      <alignment horizontal="right" vertical="center"/>
    </xf>
    <xf borderId="1" fillId="10" fontId="20" numFmtId="0" xfId="0" applyAlignment="1" applyBorder="1" applyFont="1">
      <alignment horizontal="left" vertical="center"/>
    </xf>
    <xf borderId="4" fillId="10" fontId="42" numFmtId="164" xfId="0" applyAlignment="1" applyBorder="1" applyFont="1" applyNumberFormat="1">
      <alignment horizontal="right" vertical="center"/>
    </xf>
    <xf borderId="0" fillId="0" fontId="43" numFmtId="0" xfId="0" applyAlignment="1" applyFont="1">
      <alignment readingOrder="0"/>
    </xf>
    <xf borderId="0" fillId="0" fontId="43" numFmtId="0" xfId="0" applyAlignment="1" applyFont="1">
      <alignment horizontal="center" readingOrder="0"/>
    </xf>
    <xf borderId="0" fillId="0" fontId="43" numFmtId="0" xfId="0" applyFont="1"/>
    <xf borderId="0" fillId="0" fontId="4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0C04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2.71"/>
    <col customWidth="1" min="2" max="2" width="52.14"/>
    <col customWidth="1" min="3" max="3" width="25.29"/>
    <col customWidth="1" min="4" max="4" width="21.43"/>
    <col customWidth="1" min="5" max="5" width="24.71"/>
    <col customWidth="1" min="6" max="6" width="25.86"/>
    <col customWidth="1" min="7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6" t="s">
        <v>1</v>
      </c>
      <c r="B2" s="2"/>
      <c r="C2" s="2"/>
      <c r="D2" s="2"/>
      <c r="E2" s="2"/>
      <c r="F2" s="2"/>
      <c r="G2" s="3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4"/>
      <c r="B3" s="4"/>
      <c r="C3" s="4"/>
      <c r="D3" s="7"/>
      <c r="E3" s="8"/>
      <c r="F3" s="8"/>
      <c r="G3" s="9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10" t="s">
        <v>2</v>
      </c>
      <c r="B4" s="11" t="s">
        <v>3</v>
      </c>
      <c r="C4" s="12" t="s">
        <v>4</v>
      </c>
      <c r="D4" s="13" t="s">
        <v>5</v>
      </c>
      <c r="E4" s="14" t="s">
        <v>6</v>
      </c>
      <c r="F4" s="15" t="s">
        <v>7</v>
      </c>
      <c r="G4" s="9"/>
      <c r="H4" s="4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6" t="s">
        <v>8</v>
      </c>
      <c r="B5" s="17" t="str">
        <f>SCRUM!B19&amp;" meses"</f>
        <v>10,5511932255581 meses</v>
      </c>
      <c r="C5" s="17" t="str">
        <f>KANBAN!B20&amp;" meses"</f>
        <v>20 meses</v>
      </c>
      <c r="D5" s="18" t="str">
        <f>SCRUMBAN!B22/2&amp;" meses build"</f>
        <v>12,5 meses build</v>
      </c>
      <c r="E5" s="19" t="str">
        <f>XP!B19&amp;" meses"</f>
        <v>11 meses</v>
      </c>
      <c r="F5" s="19" t="str">
        <f>('Water Scrum Fall'!B14+'Water Scrum Fall'!B25+'Water Scrum Fall'!B40)&amp;" meses"</f>
        <v>14,0511932255581 meses</v>
      </c>
      <c r="G5" s="9"/>
      <c r="H5" s="4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20" t="s">
        <v>9</v>
      </c>
      <c r="B6" s="21" t="str">
        <f>SCRUM!B14&amp;" SP"</f>
        <v>623 SP</v>
      </c>
      <c r="C6" s="21" t="str">
        <f>74&amp;" tareas"</f>
        <v>74 tareas</v>
      </c>
      <c r="D6" s="22" t="str">
        <f>SCRUMBAN!B20&amp;" SP"</f>
        <v>623 SP</v>
      </c>
      <c r="E6" s="23" t="str">
        <f>XP!B10&amp;" SP"</f>
        <v>623 SP</v>
      </c>
      <c r="F6" s="23" t="str">
        <f>"623 SP + Docs"</f>
        <v>623 SP + Docs</v>
      </c>
      <c r="G6" s="9"/>
      <c r="H6" s="4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6" t="s">
        <v>10</v>
      </c>
      <c r="B7" s="24">
        <f>SCRUM!B24</f>
        <v>514250</v>
      </c>
      <c r="C7" s="24">
        <f>KANBAN!B25</f>
        <v>935000</v>
      </c>
      <c r="D7" s="25">
        <f>SCRUMBAN!B40</f>
        <v>423087.5</v>
      </c>
      <c r="E7" s="26">
        <f>XP!B32</f>
        <v>514250</v>
      </c>
      <c r="F7" s="26">
        <f>'Water Scrum Fall'!B64</f>
        <v>819168.2833</v>
      </c>
      <c r="G7" s="9"/>
      <c r="H7" s="4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20" t="s">
        <v>11</v>
      </c>
      <c r="B8" s="27">
        <f>SCRUM!B25</f>
        <v>1067925.833</v>
      </c>
      <c r="C8" s="27">
        <f>KANBAN!B24</f>
        <v>2400000</v>
      </c>
      <c r="D8" s="28">
        <f>SCRUMBAN!B39</f>
        <v>1057718.75</v>
      </c>
      <c r="E8" s="29">
        <f>XP!B27*XP!B19</f>
        <v>1320000</v>
      </c>
      <c r="F8" s="29">
        <f>'Water Scrum Fall'!B69</f>
        <v>1489396.879</v>
      </c>
      <c r="G8" s="9"/>
      <c r="H8" s="4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16" t="s">
        <v>12</v>
      </c>
      <c r="B9" s="30">
        <f>SCRUM!B26</f>
        <v>553675.8333</v>
      </c>
      <c r="C9" s="30">
        <f>KANBAN!B26</f>
        <v>1465000</v>
      </c>
      <c r="D9" s="31">
        <f>SCRUMBAN!B43</f>
        <v>634631.25</v>
      </c>
      <c r="E9" s="26">
        <f>E8-E7</f>
        <v>805750</v>
      </c>
      <c r="F9" s="26">
        <f>'Water Scrum Fall'!B71</f>
        <v>670228.5954</v>
      </c>
      <c r="G9" s="9"/>
      <c r="H9" s="4"/>
      <c r="I9" s="4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20" t="s">
        <v>13</v>
      </c>
      <c r="B10" s="32">
        <f>SCRUM!B26/SCRUM!B25</f>
        <v>0.518459069</v>
      </c>
      <c r="C10" s="32">
        <f>KANBAN!B26/KANBAN!B24</f>
        <v>0.6104166667</v>
      </c>
      <c r="D10" s="33">
        <f>SCRUMBAN!B43/SCRUMBAN!B39</f>
        <v>0.6</v>
      </c>
      <c r="E10" s="34">
        <f t="shared" ref="E10:F10" si="1">E9/E8</f>
        <v>0.6104166667</v>
      </c>
      <c r="F10" s="34">
        <f t="shared" si="1"/>
        <v>0.45</v>
      </c>
      <c r="G10" s="9"/>
      <c r="H10" s="4"/>
      <c r="I10" s="4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16" t="s">
        <v>14</v>
      </c>
      <c r="B11" s="17" t="str">
        <f>SCRUM!B24/SCRUM!B14&amp;" Q/SP"</f>
        <v>825,441412520064 Q/SP</v>
      </c>
      <c r="C11" s="17" t="str">
        <f>KANBAN!B25/KANBAN!B15&amp;" Q/hist"</f>
        <v>7923,72881355932 Q/hist</v>
      </c>
      <c r="D11" s="18" t="s">
        <v>15</v>
      </c>
      <c r="E11" s="19" t="str">
        <f>XP!B32/XP!B10&amp;" Q/SP"</f>
        <v>825,441412520064 Q/SP</v>
      </c>
      <c r="F11" s="19" t="str">
        <f>"Precio fijo cerrado"</f>
        <v>Precio fijo cerrado</v>
      </c>
      <c r="G11" s="9"/>
      <c r="H11" s="4"/>
      <c r="I11" s="4"/>
      <c r="J11" s="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20" t="s">
        <v>16</v>
      </c>
      <c r="B12" s="27">
        <f>Equipo!E13</f>
        <v>46750</v>
      </c>
      <c r="C12" s="27">
        <f>Equipo!E13</f>
        <v>46750</v>
      </c>
      <c r="D12" s="28">
        <f>Equipo!E13</f>
        <v>46750</v>
      </c>
      <c r="E12" s="35">
        <f>Equipo!E13</f>
        <v>46750</v>
      </c>
      <c r="F12" s="35">
        <f>Equipo!E13</f>
        <v>46750</v>
      </c>
      <c r="G12" s="9"/>
      <c r="H12" s="4"/>
      <c r="I12" s="4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4"/>
      <c r="B13" s="4"/>
      <c r="C13" s="4"/>
      <c r="D13" s="4"/>
      <c r="E13" s="36"/>
      <c r="F13" s="36"/>
      <c r="G13" s="4"/>
      <c r="H13" s="4"/>
      <c r="I13" s="4"/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37" t="s">
        <v>17</v>
      </c>
      <c r="B14" s="2"/>
      <c r="C14" s="2"/>
      <c r="D14" s="2"/>
      <c r="E14" s="2"/>
      <c r="F14" s="2"/>
      <c r="G14" s="3"/>
      <c r="H14" s="4"/>
      <c r="I14" s="4"/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1.25" customHeight="1">
      <c r="A15" s="38" t="s">
        <v>18</v>
      </c>
      <c r="B15" s="39" t="s">
        <v>19</v>
      </c>
      <c r="C15" s="2"/>
      <c r="D15" s="2"/>
      <c r="E15" s="2"/>
      <c r="F15" s="2"/>
      <c r="G15" s="3"/>
      <c r="H15" s="4"/>
      <c r="I15" s="4"/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6.0" customHeight="1">
      <c r="A16" s="38" t="s">
        <v>20</v>
      </c>
      <c r="B16" s="39" t="s">
        <v>21</v>
      </c>
      <c r="C16" s="2"/>
      <c r="D16" s="2"/>
      <c r="E16" s="2"/>
      <c r="F16" s="2"/>
      <c r="G16" s="3"/>
      <c r="H16" s="4"/>
      <c r="I16" s="4"/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6.0" customHeight="1">
      <c r="A17" s="38" t="s">
        <v>22</v>
      </c>
      <c r="B17" s="39" t="s">
        <v>23</v>
      </c>
      <c r="C17" s="2"/>
      <c r="D17" s="2"/>
      <c r="E17" s="2"/>
      <c r="F17" s="2"/>
      <c r="G17" s="3"/>
      <c r="H17" s="4"/>
      <c r="I17" s="4"/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8.25" customHeight="1">
      <c r="A18" s="40" t="s">
        <v>24</v>
      </c>
      <c r="B18" s="41" t="s">
        <v>25</v>
      </c>
      <c r="C18" s="2"/>
      <c r="D18" s="2"/>
      <c r="E18" s="2"/>
      <c r="F18" s="2"/>
      <c r="G18" s="3"/>
      <c r="H18" s="4"/>
      <c r="I18" s="4"/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7.5" customHeight="1">
      <c r="A19" s="40" t="s">
        <v>26</v>
      </c>
      <c r="B19" s="41" t="s">
        <v>27</v>
      </c>
      <c r="C19" s="2"/>
      <c r="D19" s="2"/>
      <c r="E19" s="2"/>
      <c r="F19" s="2"/>
      <c r="G19" s="3"/>
      <c r="H19" s="4"/>
      <c r="I19" s="4"/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A1:G1"/>
    <mergeCell ref="A2:G2"/>
    <mergeCell ref="A14:G14"/>
    <mergeCell ref="B15:G15"/>
    <mergeCell ref="B16:G16"/>
    <mergeCell ref="B17:G17"/>
    <mergeCell ref="B18:G18"/>
    <mergeCell ref="B19:G1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A5FA"/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7.14"/>
    <col customWidth="1" min="2" max="2" width="20.0"/>
    <col customWidth="1" min="3" max="3" width="14.0"/>
    <col customWidth="1" min="4" max="4" width="42.0"/>
    <col customWidth="1" min="5" max="7" width="8.0"/>
    <col customWidth="1" min="8" max="26" width="8.71"/>
  </cols>
  <sheetData>
    <row r="1" ht="30.0" customHeight="1">
      <c r="A1" s="42" t="s">
        <v>28</v>
      </c>
      <c r="B1" s="2"/>
      <c r="C1" s="2"/>
      <c r="D1" s="2"/>
      <c r="E1" s="2"/>
      <c r="F1" s="2"/>
      <c r="G1" s="3"/>
      <c r="H1" s="43"/>
      <c r="I1" s="43"/>
      <c r="J1" s="43"/>
    </row>
    <row r="2" ht="15.0" customHeight="1">
      <c r="A2" s="43"/>
      <c r="B2" s="43"/>
      <c r="C2" s="43"/>
      <c r="D2" s="43"/>
      <c r="E2" s="43"/>
      <c r="F2" s="43"/>
      <c r="G2" s="43"/>
      <c r="H2" s="43"/>
      <c r="I2" s="43"/>
      <c r="J2" s="43"/>
    </row>
    <row r="3" ht="19.5" customHeight="1">
      <c r="A3" s="44" t="s">
        <v>29</v>
      </c>
      <c r="B3" s="45"/>
      <c r="C3" s="45"/>
      <c r="D3" s="45"/>
      <c r="E3" s="45"/>
      <c r="F3" s="45"/>
      <c r="G3" s="46"/>
      <c r="H3" s="43"/>
      <c r="I3" s="43"/>
      <c r="J3" s="43"/>
    </row>
    <row r="4" ht="18.0" customHeight="1">
      <c r="A4" s="47" t="s">
        <v>30</v>
      </c>
      <c r="B4" s="48">
        <f>Equipo!E12</f>
        <v>93500</v>
      </c>
      <c r="C4" s="49" t="s">
        <v>31</v>
      </c>
      <c r="D4" s="50" t="s">
        <v>32</v>
      </c>
      <c r="E4" s="2"/>
      <c r="F4" s="2"/>
      <c r="G4" s="3"/>
      <c r="H4" s="43"/>
      <c r="I4" s="43"/>
      <c r="J4" s="43"/>
    </row>
    <row r="5" ht="18.0" customHeight="1">
      <c r="A5" s="47" t="s">
        <v>33</v>
      </c>
      <c r="B5" s="48">
        <f>Equipo!E13</f>
        <v>46750</v>
      </c>
      <c r="C5" s="49" t="s">
        <v>31</v>
      </c>
      <c r="D5" s="50" t="s">
        <v>32</v>
      </c>
      <c r="E5" s="2"/>
      <c r="F5" s="2"/>
      <c r="G5" s="3"/>
      <c r="H5" s="43"/>
      <c r="I5" s="43"/>
      <c r="J5" s="43"/>
    </row>
    <row r="6" ht="15.0" customHeight="1">
      <c r="A6" s="43"/>
      <c r="B6" s="43"/>
      <c r="C6" s="43"/>
      <c r="D6" s="43"/>
      <c r="E6" s="43"/>
      <c r="F6" s="43"/>
      <c r="G6" s="43"/>
      <c r="H6" s="43"/>
      <c r="I6" s="43"/>
      <c r="J6" s="43"/>
    </row>
    <row r="7" ht="19.5" customHeight="1">
      <c r="A7" s="44" t="s">
        <v>34</v>
      </c>
      <c r="B7" s="45"/>
      <c r="C7" s="45"/>
      <c r="D7" s="45"/>
      <c r="E7" s="45"/>
      <c r="F7" s="45"/>
      <c r="G7" s="46"/>
      <c r="H7" s="43"/>
      <c r="I7" s="43"/>
      <c r="J7" s="43"/>
    </row>
    <row r="8" ht="18.0" customHeight="1">
      <c r="A8" s="47" t="s">
        <v>35</v>
      </c>
      <c r="B8" s="51">
        <v>30.0</v>
      </c>
      <c r="C8" s="49" t="s">
        <v>36</v>
      </c>
      <c r="D8" s="50" t="s">
        <v>37</v>
      </c>
      <c r="E8" s="2"/>
      <c r="F8" s="2"/>
      <c r="G8" s="3"/>
      <c r="H8" s="43"/>
      <c r="I8" s="43"/>
      <c r="J8" s="43"/>
    </row>
    <row r="9" ht="18.0" customHeight="1">
      <c r="A9" s="47" t="s">
        <v>38</v>
      </c>
      <c r="B9" s="52">
        <v>2.0</v>
      </c>
      <c r="C9" s="49" t="s">
        <v>39</v>
      </c>
      <c r="D9" s="43"/>
      <c r="E9" s="43"/>
      <c r="F9" s="43"/>
      <c r="G9" s="43"/>
      <c r="H9" s="43"/>
      <c r="I9" s="43"/>
      <c r="J9" s="43"/>
    </row>
    <row r="10" ht="18.0" customHeight="1">
      <c r="A10" s="47" t="s">
        <v>40</v>
      </c>
      <c r="B10" s="52">
        <v>1.1</v>
      </c>
      <c r="C10" s="53"/>
      <c r="D10" s="50" t="s">
        <v>41</v>
      </c>
      <c r="E10" s="2"/>
      <c r="F10" s="2"/>
      <c r="G10" s="3"/>
      <c r="H10" s="43"/>
      <c r="I10" s="43"/>
      <c r="J10" s="43"/>
    </row>
    <row r="11" ht="18.0" customHeight="1">
      <c r="A11" s="47" t="s">
        <v>42</v>
      </c>
      <c r="B11" s="52">
        <f>B4/B9</f>
        <v>46750</v>
      </c>
      <c r="C11" s="49" t="s">
        <v>43</v>
      </c>
      <c r="D11" s="50" t="s">
        <v>44</v>
      </c>
      <c r="E11" s="2"/>
      <c r="F11" s="2"/>
      <c r="G11" s="3"/>
      <c r="H11" s="43"/>
      <c r="I11" s="43"/>
      <c r="J11" s="43"/>
    </row>
    <row r="12" ht="15.0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</row>
    <row r="13" ht="19.5" customHeight="1">
      <c r="A13" s="44" t="s">
        <v>45</v>
      </c>
      <c r="B13" s="45"/>
      <c r="C13" s="45"/>
      <c r="D13" s="45"/>
      <c r="E13" s="45"/>
      <c r="F13" s="45"/>
      <c r="G13" s="46"/>
      <c r="H13" s="43"/>
      <c r="I13" s="43"/>
      <c r="J13" s="43"/>
    </row>
    <row r="14" ht="21.75" customHeight="1">
      <c r="A14" s="54" t="s">
        <v>46</v>
      </c>
      <c r="B14" s="55">
        <f>Backlog!F150</f>
        <v>623</v>
      </c>
      <c r="C14" s="56" t="s">
        <v>47</v>
      </c>
      <c r="D14" s="43"/>
      <c r="E14" s="43"/>
      <c r="F14" s="43"/>
      <c r="G14" s="43"/>
      <c r="H14" s="43"/>
      <c r="I14" s="43"/>
      <c r="J14" s="43"/>
    </row>
    <row r="15" ht="15.0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</row>
    <row r="16" ht="19.5" customHeight="1">
      <c r="A16" s="44" t="s">
        <v>48</v>
      </c>
      <c r="B16" s="45"/>
      <c r="C16" s="45"/>
      <c r="D16" s="45"/>
      <c r="E16" s="45"/>
      <c r="F16" s="45"/>
      <c r="G16" s="46"/>
      <c r="H16" s="43"/>
      <c r="I16" s="43"/>
      <c r="J16" s="43"/>
    </row>
    <row r="17" ht="18.0" customHeight="1">
      <c r="A17" s="47" t="s">
        <v>49</v>
      </c>
      <c r="B17" s="57">
        <f>B14/B8</f>
        <v>20.76666667</v>
      </c>
      <c r="C17" s="49" t="s">
        <v>50</v>
      </c>
      <c r="D17" s="50" t="s">
        <v>51</v>
      </c>
      <c r="E17" s="2"/>
      <c r="F17" s="2"/>
      <c r="G17" s="3"/>
      <c r="H17" s="43"/>
      <c r="I17" s="43"/>
      <c r="J17" s="43"/>
    </row>
    <row r="18" ht="18.0" customHeight="1">
      <c r="A18" s="47" t="s">
        <v>52</v>
      </c>
      <c r="B18" s="57">
        <f>B17*B10</f>
        <v>22.84333333</v>
      </c>
      <c r="C18" s="49" t="s">
        <v>50</v>
      </c>
      <c r="D18" s="50" t="s">
        <v>53</v>
      </c>
      <c r="E18" s="2"/>
      <c r="F18" s="2"/>
      <c r="G18" s="3"/>
      <c r="H18" s="43"/>
      <c r="I18" s="43"/>
      <c r="J18" s="43"/>
    </row>
    <row r="19" ht="18.0" customHeight="1">
      <c r="A19" s="47" t="s">
        <v>54</v>
      </c>
      <c r="B19" s="57">
        <f>B18*B9/4.33</f>
        <v>10.55119323</v>
      </c>
      <c r="C19" s="49" t="s">
        <v>55</v>
      </c>
      <c r="D19" s="50" t="s">
        <v>56</v>
      </c>
      <c r="E19" s="2"/>
      <c r="F19" s="2"/>
      <c r="G19" s="3"/>
      <c r="H19" s="43"/>
      <c r="I19" s="43"/>
      <c r="J19" s="43"/>
    </row>
    <row r="20" ht="18.0" customHeight="1">
      <c r="A20" s="58" t="s">
        <v>57</v>
      </c>
      <c r="B20" s="59" t="s">
        <v>58</v>
      </c>
      <c r="C20" s="60" t="s">
        <v>57</v>
      </c>
      <c r="D20" s="61"/>
      <c r="E20" s="61"/>
      <c r="F20" s="61"/>
      <c r="G20" s="61"/>
      <c r="H20" s="43"/>
      <c r="I20" s="43"/>
      <c r="J20" s="43"/>
    </row>
    <row r="21" ht="18.0" customHeight="1">
      <c r="A21" s="47" t="s">
        <v>59</v>
      </c>
      <c r="B21" s="62">
        <f>B5/(4.33/B9)</f>
        <v>21593.53349</v>
      </c>
      <c r="C21" s="49" t="s">
        <v>60</v>
      </c>
      <c r="D21" s="50" t="s">
        <v>61</v>
      </c>
      <c r="E21" s="2"/>
      <c r="F21" s="2"/>
      <c r="G21" s="3"/>
      <c r="H21" s="43"/>
      <c r="I21" s="43"/>
      <c r="J21" s="43"/>
    </row>
    <row r="22" ht="15.0" customHeight="1">
      <c r="A22" s="63" t="s">
        <v>62</v>
      </c>
      <c r="B22" s="43"/>
      <c r="C22" s="43"/>
      <c r="D22" s="43"/>
      <c r="E22" s="43"/>
      <c r="F22" s="43"/>
      <c r="G22" s="43"/>
      <c r="H22" s="43"/>
      <c r="I22" s="43"/>
      <c r="J22" s="43"/>
    </row>
    <row r="23" ht="19.5" customHeight="1">
      <c r="A23" s="44" t="s">
        <v>63</v>
      </c>
      <c r="B23" s="45"/>
      <c r="C23" s="45"/>
      <c r="D23" s="45"/>
      <c r="E23" s="45"/>
      <c r="F23" s="45"/>
      <c r="G23" s="46"/>
      <c r="H23" s="43"/>
      <c r="I23" s="43"/>
      <c r="J23" s="43"/>
    </row>
    <row r="24" ht="18.0" customHeight="1">
      <c r="A24" s="47" t="s">
        <v>10</v>
      </c>
      <c r="B24" s="62">
        <f>B20*B11</f>
        <v>514250</v>
      </c>
      <c r="C24" s="49" t="s">
        <v>64</v>
      </c>
      <c r="D24" s="43"/>
      <c r="E24" s="43"/>
      <c r="F24" s="43"/>
      <c r="G24" s="43"/>
      <c r="H24" s="43"/>
      <c r="I24" s="43"/>
      <c r="J24" s="43"/>
    </row>
    <row r="25" ht="18.0" customHeight="1">
      <c r="A25" s="47" t="s">
        <v>11</v>
      </c>
      <c r="B25" s="62">
        <f>B18*B11</f>
        <v>1067925.833</v>
      </c>
      <c r="C25" s="49" t="s">
        <v>64</v>
      </c>
      <c r="D25" s="43"/>
      <c r="E25" s="43"/>
      <c r="F25" s="43"/>
      <c r="G25" s="43"/>
      <c r="H25" s="43"/>
      <c r="I25" s="43"/>
      <c r="J25" s="43"/>
    </row>
    <row r="26" ht="18.0" customHeight="1">
      <c r="A26" s="47" t="s">
        <v>12</v>
      </c>
      <c r="B26" s="62">
        <f>B25-B24</f>
        <v>553675.8333</v>
      </c>
      <c r="C26" s="49" t="s">
        <v>64</v>
      </c>
      <c r="D26" s="43"/>
      <c r="E26" s="43"/>
      <c r="F26" s="43"/>
      <c r="G26" s="43"/>
      <c r="H26" s="43"/>
      <c r="I26" s="43"/>
      <c r="J26" s="43"/>
    </row>
    <row r="27" ht="18.0" customHeight="1">
      <c r="A27" s="47" t="s">
        <v>65</v>
      </c>
      <c r="B27" s="64">
        <f>B26/B25</f>
        <v>0.518459069</v>
      </c>
      <c r="C27" s="49" t="s">
        <v>66</v>
      </c>
      <c r="D27" s="50" t="s">
        <v>67</v>
      </c>
      <c r="E27" s="2"/>
      <c r="F27" s="2"/>
      <c r="G27" s="3"/>
      <c r="H27" s="43"/>
      <c r="I27" s="43"/>
      <c r="J27" s="43"/>
    </row>
    <row r="28" ht="18.0" customHeight="1">
      <c r="A28" s="47" t="s">
        <v>68</v>
      </c>
      <c r="B28" s="64">
        <f>B26/B24</f>
        <v>1.076666667</v>
      </c>
      <c r="C28" s="49" t="s">
        <v>66</v>
      </c>
      <c r="D28" s="50" t="s">
        <v>69</v>
      </c>
      <c r="E28" s="2"/>
      <c r="F28" s="2"/>
      <c r="G28" s="3"/>
      <c r="H28" s="43"/>
      <c r="I28" s="43"/>
      <c r="J28" s="43"/>
    </row>
    <row r="29" ht="18.0" customHeight="1">
      <c r="A29" s="47" t="s">
        <v>70</v>
      </c>
      <c r="B29" s="65">
        <f>B24/B14</f>
        <v>825.4414125</v>
      </c>
      <c r="C29" s="49" t="s">
        <v>71</v>
      </c>
      <c r="D29" s="50" t="s">
        <v>72</v>
      </c>
      <c r="E29" s="2"/>
      <c r="F29" s="2"/>
      <c r="G29" s="3"/>
      <c r="H29" s="43"/>
      <c r="I29" s="43"/>
      <c r="J29" s="43"/>
    </row>
    <row r="30" ht="15.0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</row>
    <row r="31" ht="13.5" customHeight="1">
      <c r="A31" s="50" t="s">
        <v>73</v>
      </c>
      <c r="B31" s="2"/>
      <c r="C31" s="2"/>
      <c r="D31" s="2"/>
      <c r="E31" s="2"/>
      <c r="F31" s="2"/>
      <c r="G31" s="3"/>
      <c r="H31" s="43"/>
      <c r="I31" s="43"/>
      <c r="J31" s="43"/>
    </row>
    <row r="32" ht="15.0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</row>
    <row r="33" ht="15.0" customHeight="1">
      <c r="A33" s="44" t="s">
        <v>74</v>
      </c>
      <c r="B33" s="45"/>
      <c r="C33" s="45"/>
      <c r="D33" s="45"/>
      <c r="E33" s="45"/>
      <c r="F33" s="45"/>
      <c r="G33" s="46"/>
      <c r="H33" s="43"/>
      <c r="I33" s="43"/>
      <c r="J33" s="43"/>
    </row>
    <row r="34" ht="15.0" customHeight="1">
      <c r="A34" s="66" t="s">
        <v>75</v>
      </c>
      <c r="B34" s="62" t="s">
        <v>76</v>
      </c>
      <c r="C34" s="49" t="s">
        <v>77</v>
      </c>
      <c r="D34" s="43"/>
      <c r="E34" s="43"/>
      <c r="F34" s="43"/>
      <c r="G34" s="43"/>
      <c r="H34" s="43"/>
      <c r="I34" s="43"/>
      <c r="J34" s="43"/>
    </row>
    <row r="35" ht="15.0" customHeight="1">
      <c r="A35" s="66" t="s">
        <v>78</v>
      </c>
      <c r="B35" s="62" t="s">
        <v>76</v>
      </c>
      <c r="C35" s="49" t="s">
        <v>77</v>
      </c>
      <c r="D35" s="43"/>
      <c r="E35" s="43"/>
      <c r="F35" s="43"/>
      <c r="G35" s="43"/>
      <c r="H35" s="43"/>
      <c r="I35" s="43"/>
      <c r="J35" s="43"/>
    </row>
    <row r="36" ht="15.0" customHeight="1">
      <c r="A36" s="66" t="s">
        <v>79</v>
      </c>
      <c r="B36" s="62" t="s">
        <v>80</v>
      </c>
      <c r="C36" s="49" t="s">
        <v>77</v>
      </c>
      <c r="D36" s="43"/>
      <c r="E36" s="43"/>
      <c r="F36" s="43"/>
      <c r="G36" s="43"/>
      <c r="H36" s="43"/>
      <c r="I36" s="43"/>
      <c r="J36" s="43"/>
    </row>
    <row r="37" ht="15.0" customHeight="1">
      <c r="A37" s="66" t="s">
        <v>81</v>
      </c>
      <c r="B37" s="62" t="s">
        <v>80</v>
      </c>
      <c r="C37" s="49" t="s">
        <v>77</v>
      </c>
      <c r="D37" s="43"/>
      <c r="E37" s="43"/>
      <c r="F37" s="43"/>
      <c r="G37" s="43"/>
      <c r="H37" s="43"/>
      <c r="I37" s="43"/>
      <c r="J37" s="43"/>
    </row>
    <row r="38" ht="15.0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</row>
    <row r="39" ht="15.0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</row>
    <row r="40" ht="15.0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</row>
    <row r="41" ht="15.0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</row>
    <row r="42" ht="15.0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</row>
    <row r="43" ht="15.0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</row>
    <row r="44" ht="15.0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</row>
    <row r="45" ht="15.0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</row>
    <row r="46" ht="15.0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</row>
    <row r="47" ht="15.0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</row>
    <row r="48" ht="15.0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</row>
    <row r="49" ht="15.0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</row>
    <row r="50" ht="15.0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</row>
    <row r="51" ht="15.0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</row>
    <row r="52" ht="15.0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</row>
    <row r="53" ht="15.0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0">
    <mergeCell ref="A1:G1"/>
    <mergeCell ref="A3:G3"/>
    <mergeCell ref="D4:G4"/>
    <mergeCell ref="D5:G5"/>
    <mergeCell ref="A7:G7"/>
    <mergeCell ref="D8:G8"/>
    <mergeCell ref="D10:G10"/>
    <mergeCell ref="D21:G21"/>
    <mergeCell ref="D27:G27"/>
    <mergeCell ref="D28:G28"/>
    <mergeCell ref="D29:G29"/>
    <mergeCell ref="A31:G31"/>
    <mergeCell ref="A33:G33"/>
    <mergeCell ref="D11:G11"/>
    <mergeCell ref="A13:G13"/>
    <mergeCell ref="A16:G16"/>
    <mergeCell ref="D17:G17"/>
    <mergeCell ref="D18:G18"/>
    <mergeCell ref="D19:G19"/>
    <mergeCell ref="A23:G2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84FC"/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2" width="20.0"/>
    <col customWidth="1" min="3" max="3" width="16.0"/>
    <col customWidth="1" min="4" max="4" width="46.0"/>
    <col customWidth="1" min="5" max="7" width="8.0"/>
    <col customWidth="1" min="8" max="26" width="8.71"/>
  </cols>
  <sheetData>
    <row r="1" ht="30.0" customHeight="1">
      <c r="A1" s="42" t="s">
        <v>82</v>
      </c>
      <c r="B1" s="2"/>
      <c r="C1" s="2"/>
      <c r="D1" s="2"/>
      <c r="E1" s="2"/>
      <c r="F1" s="2"/>
      <c r="G1" s="3"/>
      <c r="H1" s="43"/>
      <c r="I1" s="43"/>
      <c r="J1" s="43"/>
    </row>
    <row r="2" ht="15.0" customHeight="1">
      <c r="A2" s="43"/>
      <c r="B2" s="43"/>
      <c r="C2" s="43"/>
      <c r="D2" s="43"/>
      <c r="E2" s="43"/>
      <c r="F2" s="43"/>
      <c r="G2" s="43"/>
      <c r="H2" s="43"/>
      <c r="I2" s="43"/>
      <c r="J2" s="43"/>
    </row>
    <row r="3" ht="19.5" customHeight="1">
      <c r="A3" s="44" t="s">
        <v>29</v>
      </c>
      <c r="B3" s="45"/>
      <c r="C3" s="45"/>
      <c r="D3" s="45"/>
      <c r="E3" s="45"/>
      <c r="F3" s="45"/>
      <c r="G3" s="46"/>
      <c r="H3" s="43"/>
      <c r="I3" s="43"/>
      <c r="J3" s="43"/>
    </row>
    <row r="4" ht="18.0" customHeight="1">
      <c r="A4" s="47" t="s">
        <v>30</v>
      </c>
      <c r="B4" s="48">
        <f>Equipo!E13</f>
        <v>46750</v>
      </c>
      <c r="C4" s="49" t="s">
        <v>31</v>
      </c>
      <c r="D4" s="50" t="s">
        <v>32</v>
      </c>
      <c r="E4" s="2"/>
      <c r="F4" s="2"/>
      <c r="G4" s="3"/>
      <c r="H4" s="43"/>
      <c r="I4" s="43"/>
      <c r="J4" s="43"/>
    </row>
    <row r="5" ht="18.0" customHeight="1">
      <c r="A5" s="58" t="s">
        <v>33</v>
      </c>
      <c r="B5" s="48">
        <f>Equipo!E13</f>
        <v>46750</v>
      </c>
      <c r="C5" s="49" t="s">
        <v>31</v>
      </c>
      <c r="D5" s="67" t="s">
        <v>83</v>
      </c>
      <c r="E5" s="2"/>
      <c r="F5" s="2"/>
      <c r="G5" s="3"/>
      <c r="H5" s="43"/>
      <c r="I5" s="43"/>
      <c r="J5" s="43"/>
    </row>
    <row r="6" ht="15.0" customHeight="1">
      <c r="A6" s="43"/>
      <c r="B6" s="43"/>
      <c r="C6" s="43"/>
      <c r="D6" s="43"/>
      <c r="E6" s="43"/>
      <c r="F6" s="43"/>
      <c r="G6" s="43"/>
      <c r="H6" s="43"/>
      <c r="I6" s="43"/>
      <c r="J6" s="43"/>
    </row>
    <row r="7" ht="19.5" customHeight="1">
      <c r="A7" s="44" t="s">
        <v>84</v>
      </c>
      <c r="B7" s="45"/>
      <c r="C7" s="45"/>
      <c r="D7" s="45"/>
      <c r="E7" s="45"/>
      <c r="F7" s="45"/>
      <c r="G7" s="46"/>
      <c r="H7" s="43"/>
      <c r="I7" s="43"/>
      <c r="J7" s="43"/>
    </row>
    <row r="8" ht="18.0" customHeight="1">
      <c r="A8" s="47" t="s">
        <v>35</v>
      </c>
      <c r="B8" s="52">
        <v>30.0</v>
      </c>
      <c r="C8" s="49" t="s">
        <v>85</v>
      </c>
      <c r="D8" s="50" t="s">
        <v>37</v>
      </c>
      <c r="E8" s="2"/>
      <c r="F8" s="2"/>
      <c r="G8" s="3"/>
      <c r="H8" s="43"/>
      <c r="I8" s="43"/>
      <c r="J8" s="43"/>
    </row>
    <row r="9" ht="18.0" customHeight="1">
      <c r="A9" s="47" t="s">
        <v>38</v>
      </c>
      <c r="B9" s="52">
        <v>2.0</v>
      </c>
      <c r="C9" s="49" t="s">
        <v>39</v>
      </c>
      <c r="D9" s="43"/>
      <c r="E9" s="43"/>
      <c r="F9" s="43"/>
      <c r="G9" s="43"/>
      <c r="H9" s="43"/>
      <c r="I9" s="43"/>
      <c r="J9" s="43"/>
    </row>
    <row r="10" ht="18.0" customHeight="1">
      <c r="A10" s="47" t="s">
        <v>86</v>
      </c>
      <c r="B10" s="52">
        <v>1.2</v>
      </c>
      <c r="C10" s="53"/>
      <c r="D10" s="67" t="s">
        <v>87</v>
      </c>
      <c r="E10" s="2"/>
      <c r="F10" s="2"/>
      <c r="G10" s="3"/>
      <c r="H10" s="43"/>
      <c r="I10" s="43"/>
      <c r="J10" s="43"/>
    </row>
    <row r="11" ht="18.0" customHeight="1">
      <c r="A11" s="47" t="s">
        <v>88</v>
      </c>
      <c r="B11" s="68">
        <v>0.7</v>
      </c>
      <c r="C11" s="69">
        <f t="shared" ref="C11:C12" si="1">B11</f>
        <v>0.7</v>
      </c>
      <c r="D11" s="50" t="s">
        <v>89</v>
      </c>
      <c r="E11" s="2"/>
      <c r="F11" s="2"/>
      <c r="G11" s="3"/>
      <c r="H11" s="43"/>
      <c r="I11" s="43"/>
      <c r="J11" s="43"/>
    </row>
    <row r="12" ht="18.0" customHeight="1">
      <c r="A12" s="47" t="s">
        <v>90</v>
      </c>
      <c r="B12" s="68">
        <v>0.3</v>
      </c>
      <c r="C12" s="69">
        <f t="shared" si="1"/>
        <v>0.3</v>
      </c>
      <c r="D12" s="50" t="s">
        <v>91</v>
      </c>
      <c r="E12" s="2"/>
      <c r="F12" s="2"/>
      <c r="G12" s="3"/>
      <c r="H12" s="43"/>
      <c r="I12" s="43"/>
      <c r="J12" s="43"/>
    </row>
    <row r="13" ht="15.0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</row>
    <row r="14" ht="19.5" customHeight="1">
      <c r="A14" s="44" t="s">
        <v>92</v>
      </c>
      <c r="B14" s="45"/>
      <c r="C14" s="45"/>
      <c r="D14" s="45"/>
      <c r="E14" s="45"/>
      <c r="F14" s="45"/>
      <c r="G14" s="46"/>
      <c r="H14" s="43"/>
      <c r="I14" s="43"/>
      <c r="J14" s="43"/>
    </row>
    <row r="15" ht="18.0" customHeight="1">
      <c r="A15" s="47" t="s">
        <v>93</v>
      </c>
      <c r="B15" s="52">
        <v>10.0</v>
      </c>
      <c r="C15" s="49" t="s">
        <v>94</v>
      </c>
      <c r="D15" s="50" t="s">
        <v>95</v>
      </c>
      <c r="E15" s="2"/>
      <c r="F15" s="2"/>
      <c r="G15" s="3"/>
      <c r="H15" s="43"/>
      <c r="I15" s="43"/>
      <c r="J15" s="43"/>
    </row>
    <row r="16" ht="18.0" customHeight="1">
      <c r="A16" s="47" t="s">
        <v>96</v>
      </c>
      <c r="B16" s="52">
        <v>3.0</v>
      </c>
      <c r="C16" s="49" t="s">
        <v>97</v>
      </c>
      <c r="D16" s="43"/>
      <c r="E16" s="43"/>
      <c r="F16" s="43"/>
      <c r="G16" s="43"/>
      <c r="H16" s="43"/>
      <c r="I16" s="43"/>
      <c r="J16" s="43"/>
    </row>
    <row r="17" ht="18.0" customHeight="1">
      <c r="A17" s="47" t="s">
        <v>98</v>
      </c>
      <c r="B17" s="52">
        <v>20.0</v>
      </c>
      <c r="C17" s="49" t="s">
        <v>99</v>
      </c>
      <c r="D17" s="43"/>
      <c r="E17" s="43"/>
      <c r="F17" s="43"/>
      <c r="G17" s="43"/>
      <c r="H17" s="43"/>
      <c r="I17" s="43"/>
      <c r="J17" s="43"/>
    </row>
    <row r="18" ht="15.0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</row>
    <row r="19" ht="19.5" customHeight="1">
      <c r="A19" s="44" t="s">
        <v>100</v>
      </c>
      <c r="B19" s="45"/>
      <c r="C19" s="45"/>
      <c r="D19" s="45"/>
      <c r="E19" s="45"/>
      <c r="F19" s="45"/>
      <c r="G19" s="46"/>
      <c r="H19" s="43"/>
      <c r="I19" s="43"/>
      <c r="J19" s="43"/>
    </row>
    <row r="20" ht="18.0" customHeight="1">
      <c r="A20" s="47" t="s">
        <v>101</v>
      </c>
      <c r="B20" s="70">
        <f>Backlog!F150</f>
        <v>623</v>
      </c>
      <c r="C20" s="71" t="s">
        <v>77</v>
      </c>
      <c r="D20" s="72"/>
      <c r="E20" s="72"/>
      <c r="F20" s="72"/>
      <c r="G20" s="72"/>
      <c r="H20" s="43"/>
      <c r="I20" s="43"/>
      <c r="J20" s="43"/>
    </row>
    <row r="21" ht="18.0" customHeight="1">
      <c r="A21" s="47" t="s">
        <v>102</v>
      </c>
      <c r="B21" s="73">
        <f>B20/B8</f>
        <v>20.76666667</v>
      </c>
      <c r="C21" s="49" t="s">
        <v>50</v>
      </c>
      <c r="D21" s="72"/>
      <c r="E21" s="72"/>
      <c r="F21" s="72"/>
      <c r="G21" s="72"/>
      <c r="H21" s="43"/>
      <c r="I21" s="43"/>
      <c r="J21" s="43"/>
    </row>
    <row r="22" ht="15.0" customHeight="1">
      <c r="A22" s="47" t="s">
        <v>103</v>
      </c>
      <c r="B22" s="73">
        <f>ROUND(B21*B10,0)</f>
        <v>25</v>
      </c>
      <c r="C22" s="49"/>
      <c r="D22" s="72"/>
      <c r="E22" s="72"/>
      <c r="F22" s="72"/>
      <c r="G22" s="72"/>
      <c r="H22" s="43"/>
      <c r="I22" s="43"/>
      <c r="J22" s="43"/>
    </row>
    <row r="23" ht="19.5" customHeight="1">
      <c r="A23" s="74" t="s">
        <v>104</v>
      </c>
      <c r="B23" s="74"/>
      <c r="C23" s="74"/>
      <c r="D23" s="74"/>
      <c r="E23" s="74"/>
      <c r="F23" s="74"/>
      <c r="G23" s="74"/>
      <c r="H23" s="43"/>
      <c r="I23" s="43"/>
      <c r="J23" s="43"/>
    </row>
    <row r="24" ht="18.0" customHeight="1">
      <c r="A24" s="47" t="s">
        <v>105</v>
      </c>
      <c r="B24" s="75">
        <f>B4*B11</f>
        <v>32725</v>
      </c>
      <c r="C24" s="49"/>
      <c r="D24" s="61"/>
      <c r="E24" s="61"/>
      <c r="F24" s="61"/>
      <c r="G24" s="61"/>
      <c r="H24" s="43"/>
      <c r="I24" s="43"/>
      <c r="J24" s="43"/>
    </row>
    <row r="25" ht="18.0" customHeight="1">
      <c r="A25" s="47" t="s">
        <v>106</v>
      </c>
      <c r="B25" s="75">
        <f>B4*B12</f>
        <v>14025</v>
      </c>
      <c r="C25" s="49"/>
      <c r="D25" s="61"/>
      <c r="E25" s="61"/>
      <c r="F25" s="61"/>
      <c r="G25" s="61"/>
      <c r="H25" s="43"/>
      <c r="I25" s="43"/>
      <c r="J25" s="43"/>
    </row>
    <row r="26" ht="15.0" customHeight="1">
      <c r="A26" s="43"/>
      <c r="B26" s="76">
        <f>SUM(B24:B25)</f>
        <v>46750</v>
      </c>
      <c r="C26" s="43"/>
      <c r="D26" s="43"/>
      <c r="E26" s="43"/>
      <c r="F26" s="43"/>
      <c r="G26" s="43"/>
      <c r="H26" s="43"/>
      <c r="I26" s="43"/>
      <c r="J26" s="43"/>
    </row>
    <row r="27" ht="19.5" customHeight="1">
      <c r="A27" s="44" t="s">
        <v>107</v>
      </c>
      <c r="B27" s="45"/>
      <c r="C27" s="45"/>
      <c r="D27" s="45"/>
      <c r="E27" s="45"/>
      <c r="F27" s="45"/>
      <c r="G27" s="46"/>
      <c r="H27" s="43"/>
      <c r="I27" s="43"/>
      <c r="J27" s="43"/>
    </row>
    <row r="28" ht="18.0" customHeight="1">
      <c r="A28" s="47" t="s">
        <v>108</v>
      </c>
      <c r="B28" s="77">
        <v>0.6</v>
      </c>
      <c r="C28" s="49"/>
      <c r="D28" s="50"/>
      <c r="E28" s="2"/>
      <c r="F28" s="2"/>
      <c r="G28" s="3"/>
      <c r="H28" s="43"/>
      <c r="I28" s="43"/>
      <c r="J28" s="43"/>
    </row>
    <row r="29" ht="18.0" customHeight="1">
      <c r="A29" s="47"/>
      <c r="B29" s="57"/>
      <c r="C29" s="49"/>
      <c r="D29" s="50"/>
      <c r="E29" s="2"/>
      <c r="F29" s="2"/>
      <c r="G29" s="3"/>
      <c r="H29" s="43"/>
      <c r="I29" s="43"/>
      <c r="J29" s="43"/>
    </row>
    <row r="30" ht="18.0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</row>
    <row r="31" ht="18.0" customHeight="1">
      <c r="A31" s="44" t="s">
        <v>109</v>
      </c>
      <c r="B31" s="45"/>
      <c r="C31" s="45"/>
      <c r="D31" s="45"/>
      <c r="E31" s="45"/>
      <c r="F31" s="45"/>
      <c r="G31" s="46"/>
      <c r="H31" s="43"/>
      <c r="I31" s="43"/>
      <c r="J31" s="43"/>
    </row>
    <row r="32" ht="18.0" customHeight="1">
      <c r="A32" s="47" t="s">
        <v>110</v>
      </c>
      <c r="B32" s="78">
        <f>B24/(1-B28)</f>
        <v>81812.5</v>
      </c>
      <c r="C32" s="49"/>
      <c r="D32" s="43"/>
      <c r="E32" s="43"/>
      <c r="F32" s="43"/>
      <c r="G32" s="43"/>
      <c r="H32" s="43"/>
      <c r="I32" s="43"/>
      <c r="J32" s="43"/>
    </row>
    <row r="33" ht="15.0" customHeight="1">
      <c r="A33" s="47" t="s">
        <v>111</v>
      </c>
      <c r="B33" s="78">
        <f>B25/(1-B28)</f>
        <v>35062.5</v>
      </c>
      <c r="C33" s="49"/>
      <c r="D33" s="43"/>
      <c r="E33" s="43"/>
      <c r="F33" s="43"/>
      <c r="G33" s="43"/>
      <c r="H33" s="43"/>
      <c r="I33" s="43"/>
      <c r="J33" s="43"/>
    </row>
    <row r="34" ht="19.5" customHeight="1">
      <c r="A34" s="47"/>
      <c r="B34" s="78"/>
      <c r="C34" s="49"/>
      <c r="D34" s="43"/>
      <c r="E34" s="43"/>
      <c r="F34" s="43"/>
      <c r="G34" s="43"/>
      <c r="H34" s="43"/>
      <c r="I34" s="43"/>
      <c r="J34" s="43"/>
    </row>
    <row r="35" ht="18.0" customHeight="1">
      <c r="A35" s="47" t="s">
        <v>112</v>
      </c>
      <c r="B35" s="62">
        <f>B32/B9</f>
        <v>40906.25</v>
      </c>
      <c r="C35" s="49"/>
      <c r="D35" s="43"/>
      <c r="E35" s="43"/>
      <c r="F35" s="43"/>
      <c r="G35" s="43"/>
      <c r="H35" s="43"/>
      <c r="I35" s="43"/>
      <c r="J35" s="43"/>
    </row>
    <row r="36" ht="18.0" customHeight="1">
      <c r="A36" s="47"/>
      <c r="B36" s="62"/>
      <c r="C36" s="49"/>
      <c r="D36" s="43"/>
      <c r="E36" s="43"/>
      <c r="F36" s="43"/>
      <c r="G36" s="43"/>
      <c r="H36" s="43"/>
      <c r="I36" s="43"/>
      <c r="J36" s="43"/>
    </row>
    <row r="37" ht="18.0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</row>
    <row r="38" ht="18.0" customHeight="1">
      <c r="A38" s="44" t="s">
        <v>113</v>
      </c>
      <c r="B38" s="45"/>
      <c r="C38" s="45"/>
      <c r="D38" s="45"/>
      <c r="E38" s="45"/>
      <c r="F38" s="45"/>
      <c r="G38" s="46"/>
      <c r="H38" s="43"/>
      <c r="I38" s="43"/>
      <c r="J38" s="43"/>
    </row>
    <row r="39" ht="15.0" customHeight="1">
      <c r="A39" s="47" t="s">
        <v>114</v>
      </c>
      <c r="B39" s="62">
        <f>B33+(B22*B35)</f>
        <v>1057718.75</v>
      </c>
      <c r="C39" s="49"/>
      <c r="D39" s="43"/>
      <c r="E39" s="43"/>
      <c r="F39" s="43"/>
      <c r="G39" s="43"/>
      <c r="H39" s="43"/>
      <c r="I39" s="43"/>
      <c r="J39" s="43"/>
    </row>
    <row r="40" ht="19.5" customHeight="1">
      <c r="A40" s="47" t="s">
        <v>115</v>
      </c>
      <c r="B40" s="62">
        <f>((B24)*(B22/B9))+(B25)</f>
        <v>423087.5</v>
      </c>
      <c r="C40" s="49"/>
      <c r="D40" s="72"/>
      <c r="E40" s="72"/>
      <c r="F40" s="72"/>
      <c r="G40" s="72"/>
      <c r="H40" s="43"/>
      <c r="I40" s="43"/>
      <c r="J40" s="43"/>
    </row>
    <row r="41" ht="18.0" customHeight="1">
      <c r="A41" s="72"/>
      <c r="B41" s="72"/>
      <c r="C41" s="72"/>
      <c r="D41" s="72"/>
      <c r="E41" s="72"/>
      <c r="F41" s="72"/>
      <c r="G41" s="72"/>
      <c r="H41" s="43"/>
      <c r="I41" s="43"/>
      <c r="J41" s="43"/>
    </row>
    <row r="42" ht="18.0" customHeight="1">
      <c r="A42" s="44" t="s">
        <v>116</v>
      </c>
      <c r="B42" s="45"/>
      <c r="C42" s="45"/>
      <c r="D42" s="45"/>
      <c r="E42" s="45"/>
      <c r="F42" s="45"/>
      <c r="G42" s="46"/>
      <c r="H42" s="43"/>
      <c r="I42" s="43"/>
      <c r="J42" s="43"/>
    </row>
    <row r="43" ht="18.0" customHeight="1">
      <c r="A43" s="47" t="s">
        <v>117</v>
      </c>
      <c r="B43" s="79">
        <f>B39-B40</f>
        <v>634631.25</v>
      </c>
      <c r="C43" s="49"/>
      <c r="D43" s="50"/>
      <c r="E43" s="2"/>
      <c r="F43" s="2"/>
      <c r="G43" s="3"/>
      <c r="H43" s="43"/>
      <c r="I43" s="43"/>
      <c r="J43" s="43"/>
    </row>
    <row r="44" ht="18.0" customHeight="1">
      <c r="A44" s="47" t="s">
        <v>118</v>
      </c>
      <c r="B44" s="80">
        <f>B43/B39</f>
        <v>0.6</v>
      </c>
      <c r="C44" s="49"/>
      <c r="D44" s="50"/>
      <c r="E44" s="2"/>
      <c r="F44" s="2"/>
      <c r="G44" s="3"/>
      <c r="H44" s="43"/>
      <c r="I44" s="43"/>
      <c r="J44" s="43"/>
    </row>
    <row r="45" ht="15.0" customHeight="1">
      <c r="A45" s="72"/>
      <c r="B45" s="72"/>
      <c r="C45" s="72"/>
      <c r="D45" s="72"/>
      <c r="E45" s="72"/>
      <c r="F45" s="72"/>
      <c r="G45" s="72"/>
      <c r="H45" s="43"/>
      <c r="I45" s="43"/>
      <c r="J45" s="43"/>
    </row>
    <row r="46" ht="15.0" customHeight="1">
      <c r="A46" s="72"/>
      <c r="B46" s="72"/>
      <c r="C46" s="72"/>
      <c r="D46" s="72"/>
      <c r="E46" s="72"/>
      <c r="F46" s="72"/>
      <c r="G46" s="72"/>
      <c r="H46" s="43"/>
      <c r="I46" s="43"/>
      <c r="J46" s="43"/>
    </row>
    <row r="47" ht="15.0" customHeight="1">
      <c r="A47" s="72"/>
      <c r="B47" s="72"/>
      <c r="C47" s="72"/>
      <c r="D47" s="72"/>
      <c r="E47" s="72"/>
      <c r="F47" s="72"/>
      <c r="G47" s="72"/>
      <c r="H47" s="43"/>
      <c r="I47" s="43"/>
      <c r="J47" s="43"/>
    </row>
    <row r="48" ht="15.0" customHeight="1">
      <c r="A48" s="72"/>
      <c r="B48" s="72"/>
      <c r="C48" s="72"/>
      <c r="D48" s="72"/>
      <c r="E48" s="72"/>
      <c r="F48" s="72"/>
      <c r="G48" s="72"/>
      <c r="H48" s="43"/>
      <c r="I48" s="43"/>
      <c r="J48" s="43"/>
    </row>
    <row r="49" ht="15.0" customHeight="1">
      <c r="A49" s="72"/>
      <c r="B49" s="72"/>
      <c r="C49" s="72"/>
      <c r="D49" s="72"/>
      <c r="E49" s="72"/>
      <c r="F49" s="72"/>
      <c r="G49" s="72"/>
      <c r="H49" s="43"/>
      <c r="I49" s="43"/>
      <c r="J49" s="43"/>
    </row>
    <row r="50" ht="15.0" customHeight="1">
      <c r="A50" s="72"/>
      <c r="B50" s="72"/>
      <c r="C50" s="72"/>
      <c r="D50" s="72"/>
      <c r="E50" s="72"/>
      <c r="F50" s="72"/>
      <c r="G50" s="72"/>
      <c r="H50" s="43"/>
      <c r="I50" s="43"/>
      <c r="J50" s="43"/>
    </row>
    <row r="51" ht="15.0" customHeight="1">
      <c r="A51" s="72"/>
      <c r="B51" s="72"/>
      <c r="C51" s="72"/>
      <c r="D51" s="72"/>
      <c r="E51" s="72"/>
      <c r="F51" s="72"/>
      <c r="G51" s="72"/>
      <c r="H51" s="43"/>
      <c r="I51" s="43"/>
      <c r="J51" s="43"/>
    </row>
    <row r="52" ht="15.0" customHeight="1">
      <c r="A52" s="72"/>
      <c r="B52" s="72"/>
      <c r="C52" s="72"/>
      <c r="D52" s="72"/>
      <c r="E52" s="72"/>
      <c r="F52" s="72"/>
      <c r="G52" s="72"/>
      <c r="H52" s="43"/>
      <c r="I52" s="43"/>
      <c r="J52" s="43"/>
    </row>
    <row r="53" ht="15.0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</row>
    <row r="54" ht="15.0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</row>
    <row r="55" ht="15.0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</row>
    <row r="56" ht="15.0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</row>
    <row r="57" ht="15.0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</row>
    <row r="58" ht="15.0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</row>
    <row r="59" ht="15.0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</row>
    <row r="60" ht="15.0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</row>
    <row r="61" ht="15.0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</row>
    <row r="62" ht="15.0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</row>
    <row r="63" ht="15.0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</row>
    <row r="64" ht="15.0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</row>
    <row r="65" ht="15.0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</row>
    <row r="66" ht="15.0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</row>
    <row r="67" ht="15.0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</row>
    <row r="68" ht="15.0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</row>
    <row r="69" ht="15.0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</row>
    <row r="70" ht="15.0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G1"/>
    <mergeCell ref="A3:G3"/>
    <mergeCell ref="D4:G4"/>
    <mergeCell ref="D5:G5"/>
    <mergeCell ref="A7:G7"/>
    <mergeCell ref="D8:G8"/>
    <mergeCell ref="D10:G10"/>
    <mergeCell ref="D29:G29"/>
    <mergeCell ref="A31:G31"/>
    <mergeCell ref="A38:G38"/>
    <mergeCell ref="A42:G42"/>
    <mergeCell ref="D43:G43"/>
    <mergeCell ref="D44:G44"/>
    <mergeCell ref="D11:G11"/>
    <mergeCell ref="D12:G12"/>
    <mergeCell ref="A14:G14"/>
    <mergeCell ref="D15:G15"/>
    <mergeCell ref="A19:G19"/>
    <mergeCell ref="A27:G27"/>
    <mergeCell ref="D28:G2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D399"/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2" width="20.0"/>
    <col customWidth="1" min="3" max="3" width="16.0"/>
    <col customWidth="1" min="4" max="4" width="46.0"/>
    <col customWidth="1" min="5" max="7" width="8.0"/>
    <col customWidth="1" min="8" max="26" width="8.71"/>
  </cols>
  <sheetData>
    <row r="1" ht="30.0" customHeight="1">
      <c r="A1" s="42" t="s">
        <v>119</v>
      </c>
      <c r="B1" s="2"/>
      <c r="C1" s="2"/>
      <c r="D1" s="2"/>
      <c r="E1" s="2"/>
      <c r="F1" s="2"/>
      <c r="G1" s="3"/>
      <c r="H1" s="43"/>
      <c r="I1" s="43"/>
      <c r="J1" s="43"/>
    </row>
    <row r="2" ht="15.0" customHeight="1">
      <c r="A2" s="43"/>
      <c r="B2" s="43"/>
      <c r="C2" s="43"/>
      <c r="D2" s="43"/>
      <c r="E2" s="43"/>
      <c r="F2" s="43"/>
      <c r="G2" s="43"/>
      <c r="H2" s="43"/>
      <c r="I2" s="43"/>
      <c r="J2" s="43"/>
    </row>
    <row r="3" ht="19.5" customHeight="1">
      <c r="A3" s="44" t="s">
        <v>29</v>
      </c>
      <c r="B3" s="45"/>
      <c r="C3" s="45"/>
      <c r="D3" s="45"/>
      <c r="E3" s="45"/>
      <c r="F3" s="45"/>
      <c r="G3" s="46"/>
      <c r="H3" s="43"/>
      <c r="I3" s="43"/>
      <c r="J3" s="43"/>
    </row>
    <row r="4" ht="18.0" customHeight="1">
      <c r="A4" s="47" t="s">
        <v>30</v>
      </c>
      <c r="B4" s="48">
        <f>Equipo!E12</f>
        <v>93500</v>
      </c>
      <c r="C4" s="49" t="s">
        <v>31</v>
      </c>
      <c r="D4" s="50" t="s">
        <v>32</v>
      </c>
      <c r="E4" s="2"/>
      <c r="F4" s="2"/>
      <c r="G4" s="3"/>
      <c r="H4" s="43"/>
      <c r="I4" s="43"/>
      <c r="J4" s="43"/>
    </row>
    <row r="5" ht="18.0" customHeight="1">
      <c r="A5" s="47" t="s">
        <v>33</v>
      </c>
      <c r="B5" s="48">
        <f>Equipo!E13</f>
        <v>46750</v>
      </c>
      <c r="C5" s="49" t="s">
        <v>31</v>
      </c>
      <c r="D5" s="50" t="s">
        <v>32</v>
      </c>
      <c r="E5" s="2"/>
      <c r="F5" s="2"/>
      <c r="G5" s="3"/>
      <c r="H5" s="43"/>
      <c r="I5" s="43"/>
      <c r="J5" s="43"/>
    </row>
    <row r="6" ht="15.0" customHeight="1">
      <c r="A6" s="43"/>
      <c r="B6" s="43"/>
      <c r="C6" s="43"/>
      <c r="D6" s="43"/>
      <c r="E6" s="43"/>
      <c r="F6" s="43"/>
      <c r="G6" s="43"/>
      <c r="H6" s="43"/>
      <c r="I6" s="43"/>
      <c r="J6" s="43"/>
    </row>
    <row r="7" ht="19.5" customHeight="1">
      <c r="A7" s="44" t="s">
        <v>120</v>
      </c>
      <c r="B7" s="45"/>
      <c r="C7" s="45"/>
      <c r="D7" s="45"/>
      <c r="E7" s="45"/>
      <c r="F7" s="45"/>
      <c r="G7" s="46"/>
      <c r="H7" s="43"/>
      <c r="I7" s="43"/>
      <c r="J7" s="43"/>
    </row>
    <row r="8" ht="18.0" customHeight="1">
      <c r="A8" s="47" t="s">
        <v>121</v>
      </c>
      <c r="B8" s="52">
        <v>7.0</v>
      </c>
      <c r="C8" s="49" t="s">
        <v>94</v>
      </c>
      <c r="D8" s="50" t="s">
        <v>122</v>
      </c>
      <c r="E8" s="2"/>
      <c r="F8" s="2"/>
      <c r="G8" s="3"/>
      <c r="H8" s="43"/>
      <c r="I8" s="43"/>
      <c r="J8" s="43"/>
    </row>
    <row r="9" ht="18.0" customHeight="1">
      <c r="A9" s="47" t="s">
        <v>123</v>
      </c>
      <c r="B9" s="52">
        <v>10.0</v>
      </c>
      <c r="C9" s="49" t="s">
        <v>94</v>
      </c>
      <c r="D9" s="50" t="s">
        <v>124</v>
      </c>
      <c r="E9" s="2"/>
      <c r="F9" s="2"/>
      <c r="G9" s="3"/>
      <c r="H9" s="43"/>
      <c r="I9" s="43"/>
      <c r="J9" s="43"/>
    </row>
    <row r="10" ht="18.0" customHeight="1">
      <c r="A10" s="47" t="s">
        <v>125</v>
      </c>
      <c r="B10" s="52">
        <v>3.0</v>
      </c>
      <c r="C10" s="49" t="s">
        <v>97</v>
      </c>
      <c r="D10" s="50" t="s">
        <v>126</v>
      </c>
      <c r="E10" s="2"/>
      <c r="F10" s="2"/>
      <c r="G10" s="3"/>
      <c r="H10" s="43"/>
      <c r="I10" s="43"/>
      <c r="J10" s="43"/>
    </row>
    <row r="11" ht="18.0" customHeight="1">
      <c r="A11" s="47" t="s">
        <v>98</v>
      </c>
      <c r="B11" s="52">
        <v>20.0</v>
      </c>
      <c r="C11" s="49" t="s">
        <v>99</v>
      </c>
      <c r="D11" s="50" t="s">
        <v>127</v>
      </c>
      <c r="E11" s="2"/>
      <c r="F11" s="2"/>
      <c r="G11" s="3"/>
      <c r="H11" s="43"/>
      <c r="I11" s="43"/>
      <c r="J11" s="43"/>
    </row>
    <row r="12" ht="18.0" customHeight="1">
      <c r="A12" s="47" t="s">
        <v>128</v>
      </c>
      <c r="B12" s="81">
        <v>120000.0</v>
      </c>
      <c r="C12" s="49" t="s">
        <v>31</v>
      </c>
      <c r="D12" s="50" t="s">
        <v>129</v>
      </c>
      <c r="E12" s="2"/>
      <c r="F12" s="2"/>
      <c r="G12" s="3"/>
      <c r="H12" s="43"/>
      <c r="I12" s="43"/>
      <c r="J12" s="43"/>
    </row>
    <row r="13" ht="15.0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</row>
    <row r="14" ht="19.5" customHeight="1">
      <c r="A14" s="44" t="s">
        <v>130</v>
      </c>
      <c r="B14" s="45"/>
      <c r="C14" s="45"/>
      <c r="D14" s="45"/>
      <c r="E14" s="45"/>
      <c r="F14" s="45"/>
      <c r="G14" s="46"/>
      <c r="H14" s="43"/>
      <c r="I14" s="43"/>
      <c r="J14" s="43"/>
    </row>
    <row r="15" ht="18.0" customHeight="1">
      <c r="A15" s="47" t="s">
        <v>131</v>
      </c>
      <c r="B15" s="82">
        <f>Backlog!A151</f>
        <v>118</v>
      </c>
      <c r="C15" s="49" t="s">
        <v>132</v>
      </c>
      <c r="D15" s="67" t="s">
        <v>133</v>
      </c>
      <c r="E15" s="2"/>
      <c r="F15" s="2"/>
      <c r="G15" s="3"/>
      <c r="H15" s="43"/>
      <c r="I15" s="43"/>
      <c r="J15" s="43"/>
    </row>
    <row r="16" ht="15.0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</row>
    <row r="17" ht="19.5" customHeight="1">
      <c r="A17" s="44" t="s">
        <v>134</v>
      </c>
      <c r="B17" s="45"/>
      <c r="C17" s="45"/>
      <c r="D17" s="45"/>
      <c r="E17" s="45"/>
      <c r="F17" s="45"/>
      <c r="G17" s="46"/>
      <c r="H17" s="43"/>
      <c r="I17" s="43"/>
      <c r="J17" s="43"/>
    </row>
    <row r="18" ht="18.0" customHeight="1">
      <c r="A18" s="47" t="s">
        <v>135</v>
      </c>
      <c r="B18" s="57">
        <f>B15*B9</f>
        <v>1180</v>
      </c>
      <c r="C18" s="49" t="s">
        <v>94</v>
      </c>
      <c r="D18" s="50" t="s">
        <v>136</v>
      </c>
      <c r="E18" s="2"/>
      <c r="F18" s="2"/>
      <c r="G18" s="3"/>
      <c r="H18" s="43"/>
      <c r="I18" s="43"/>
      <c r="J18" s="43"/>
    </row>
    <row r="19" ht="18.0" customHeight="1">
      <c r="A19" s="47" t="s">
        <v>137</v>
      </c>
      <c r="B19" s="83">
        <f>B18/B10</f>
        <v>393.3333333</v>
      </c>
      <c r="C19" s="49" t="s">
        <v>94</v>
      </c>
      <c r="D19" s="50" t="s">
        <v>138</v>
      </c>
      <c r="E19" s="2"/>
      <c r="F19" s="2"/>
      <c r="G19" s="3"/>
      <c r="H19" s="43"/>
      <c r="I19" s="43"/>
      <c r="J19" s="43"/>
    </row>
    <row r="20" ht="18.0" customHeight="1">
      <c r="A20" s="47" t="s">
        <v>54</v>
      </c>
      <c r="B20" s="57">
        <f>CEILING(B19/B11,1)</f>
        <v>20</v>
      </c>
      <c r="C20" s="49" t="s">
        <v>55</v>
      </c>
      <c r="D20" s="50" t="s">
        <v>139</v>
      </c>
      <c r="E20" s="2"/>
      <c r="F20" s="2"/>
      <c r="G20" s="3"/>
      <c r="H20" s="43"/>
      <c r="I20" s="43"/>
      <c r="J20" s="43"/>
    </row>
    <row r="21" ht="18.0" customHeight="1">
      <c r="A21" s="47" t="s">
        <v>140</v>
      </c>
      <c r="B21" s="83">
        <f>B10*B11/B9</f>
        <v>6</v>
      </c>
      <c r="C21" s="49" t="s">
        <v>141</v>
      </c>
      <c r="D21" s="50" t="s">
        <v>142</v>
      </c>
      <c r="E21" s="2"/>
      <c r="F21" s="2"/>
      <c r="G21" s="3"/>
      <c r="H21" s="43"/>
      <c r="I21" s="43"/>
      <c r="J21" s="43"/>
    </row>
    <row r="22" ht="15.0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</row>
    <row r="23" ht="19.5" customHeight="1">
      <c r="A23" s="44" t="s">
        <v>63</v>
      </c>
      <c r="B23" s="45"/>
      <c r="C23" s="45"/>
      <c r="D23" s="45"/>
      <c r="E23" s="45"/>
      <c r="F23" s="45"/>
      <c r="G23" s="46"/>
      <c r="H23" s="43"/>
      <c r="I23" s="43"/>
      <c r="J23" s="43"/>
    </row>
    <row r="24" ht="18.0" customHeight="1">
      <c r="A24" s="47" t="s">
        <v>11</v>
      </c>
      <c r="B24" s="62">
        <f>B20*B12</f>
        <v>2400000</v>
      </c>
      <c r="C24" s="49" t="s">
        <v>64</v>
      </c>
      <c r="D24" s="43"/>
      <c r="E24" s="43"/>
      <c r="F24" s="43"/>
      <c r="G24" s="43"/>
      <c r="H24" s="43"/>
      <c r="I24" s="43"/>
      <c r="J24" s="43"/>
    </row>
    <row r="25" ht="18.0" customHeight="1">
      <c r="A25" s="47" t="s">
        <v>10</v>
      </c>
      <c r="B25" s="62">
        <f>B20*B5</f>
        <v>935000</v>
      </c>
      <c r="C25" s="49" t="s">
        <v>64</v>
      </c>
      <c r="D25" s="43"/>
      <c r="E25" s="43"/>
      <c r="F25" s="43"/>
      <c r="G25" s="43"/>
      <c r="H25" s="43"/>
      <c r="I25" s="43"/>
      <c r="J25" s="43"/>
    </row>
    <row r="26" ht="18.0" customHeight="1">
      <c r="A26" s="47" t="s">
        <v>12</v>
      </c>
      <c r="B26" s="62">
        <f>B24-B25</f>
        <v>1465000</v>
      </c>
      <c r="C26" s="49" t="s">
        <v>64</v>
      </c>
      <c r="D26" s="43"/>
      <c r="E26" s="43"/>
      <c r="F26" s="43"/>
      <c r="G26" s="43"/>
      <c r="H26" s="43"/>
      <c r="I26" s="43"/>
      <c r="J26" s="43"/>
    </row>
    <row r="27" ht="18.0" customHeight="1">
      <c r="A27" s="47" t="s">
        <v>13</v>
      </c>
      <c r="B27" s="64">
        <f>B26/B24</f>
        <v>0.6104166667</v>
      </c>
      <c r="C27" s="49" t="s">
        <v>66</v>
      </c>
      <c r="D27" s="43"/>
      <c r="E27" s="43"/>
      <c r="F27" s="43"/>
      <c r="G27" s="43"/>
      <c r="H27" s="43"/>
      <c r="I27" s="43"/>
      <c r="J27" s="43"/>
    </row>
    <row r="28" ht="18.0" customHeight="1">
      <c r="A28" s="47" t="s">
        <v>143</v>
      </c>
      <c r="B28" s="64">
        <f>B26/B25</f>
        <v>1.56684492</v>
      </c>
      <c r="C28" s="49" t="s">
        <v>66</v>
      </c>
      <c r="D28" s="43"/>
      <c r="E28" s="43"/>
      <c r="F28" s="43"/>
      <c r="G28" s="43"/>
      <c r="H28" s="43"/>
      <c r="I28" s="43"/>
      <c r="J28" s="43"/>
    </row>
    <row r="29" ht="18.0" customHeight="1">
      <c r="A29" s="47" t="s">
        <v>144</v>
      </c>
      <c r="B29" s="65">
        <f>B25/B15</f>
        <v>7923.728814</v>
      </c>
      <c r="C29" s="49" t="s">
        <v>145</v>
      </c>
      <c r="D29" s="43"/>
      <c r="E29" s="43"/>
      <c r="F29" s="43"/>
      <c r="G29" s="43"/>
      <c r="H29" s="43"/>
      <c r="I29" s="43"/>
      <c r="J29" s="43"/>
    </row>
    <row r="30" ht="15.0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</row>
    <row r="31" ht="13.5" customHeight="1">
      <c r="A31" s="50"/>
      <c r="B31" s="2"/>
      <c r="C31" s="2"/>
      <c r="D31" s="2"/>
      <c r="E31" s="2"/>
      <c r="F31" s="2"/>
      <c r="G31" s="3"/>
      <c r="H31" s="43"/>
      <c r="I31" s="43"/>
      <c r="J31" s="43"/>
    </row>
    <row r="32" ht="15.0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</row>
    <row r="33" ht="15.0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</row>
    <row r="34" ht="15.0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</row>
    <row r="35" ht="15.0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</row>
    <row r="36" ht="15.0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</row>
    <row r="37" ht="15.0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</row>
    <row r="38" ht="15.0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</row>
    <row r="39" ht="15.0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</row>
    <row r="40" ht="15.0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</row>
    <row r="41" ht="15.0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</row>
    <row r="42" ht="15.0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</row>
    <row r="43" ht="15.0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</row>
    <row r="44" ht="15.0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</row>
    <row r="45" ht="15.0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</row>
    <row r="46" ht="15.0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</row>
    <row r="47" ht="15.0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</row>
    <row r="48" ht="15.0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</row>
    <row r="49" ht="15.0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</row>
    <row r="50" ht="15.0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</row>
    <row r="51" ht="15.0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</row>
    <row r="52" ht="15.0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</row>
    <row r="53" ht="15.0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</row>
    <row r="54" ht="15.0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</row>
    <row r="55" ht="15.0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G1"/>
    <mergeCell ref="A3:G3"/>
    <mergeCell ref="D4:G4"/>
    <mergeCell ref="D5:G5"/>
    <mergeCell ref="A7:G7"/>
    <mergeCell ref="D8:G8"/>
    <mergeCell ref="D9:G9"/>
    <mergeCell ref="D19:G19"/>
    <mergeCell ref="D20:G20"/>
    <mergeCell ref="D21:G21"/>
    <mergeCell ref="A23:G23"/>
    <mergeCell ref="A31:G31"/>
    <mergeCell ref="D10:G10"/>
    <mergeCell ref="D11:G11"/>
    <mergeCell ref="D12:G12"/>
    <mergeCell ref="A14:G14"/>
    <mergeCell ref="D15:G15"/>
    <mergeCell ref="A17:G17"/>
    <mergeCell ref="D18:G1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0.29"/>
    <col customWidth="1" min="2" max="2" width="21.71"/>
    <col customWidth="1" min="3" max="3" width="34.14"/>
    <col customWidth="1" min="4" max="4" width="37.29"/>
    <col customWidth="1" min="5" max="5" width="24.43"/>
  </cols>
  <sheetData>
    <row r="1">
      <c r="A1" s="84" t="s">
        <v>146</v>
      </c>
      <c r="B1" s="85"/>
      <c r="C1" s="85"/>
      <c r="D1" s="85"/>
    </row>
    <row r="2">
      <c r="A2" s="84" t="s">
        <v>147</v>
      </c>
      <c r="B2" s="85"/>
      <c r="C2" s="85"/>
      <c r="D2" s="85"/>
    </row>
    <row r="3">
      <c r="A3" s="85"/>
      <c r="B3" s="85"/>
      <c r="C3" s="85"/>
      <c r="D3" s="85"/>
    </row>
    <row r="4">
      <c r="A4" s="84" t="s">
        <v>148</v>
      </c>
      <c r="B4" s="85"/>
      <c r="C4" s="85"/>
      <c r="D4" s="85"/>
    </row>
    <row r="5">
      <c r="A5" s="84" t="s">
        <v>149</v>
      </c>
      <c r="B5" s="85"/>
      <c r="C5" s="85"/>
      <c r="D5" s="85"/>
    </row>
    <row r="6">
      <c r="A6" s="85"/>
      <c r="B6" s="85"/>
      <c r="C6" s="85"/>
      <c r="D6" s="85"/>
    </row>
    <row r="7">
      <c r="A7" s="84" t="s">
        <v>150</v>
      </c>
      <c r="B7" s="85"/>
      <c r="C7" s="85"/>
      <c r="D7" s="86">
        <f>Equipo!E13</f>
        <v>46750</v>
      </c>
    </row>
    <row r="8">
      <c r="A8" s="85"/>
      <c r="B8" s="85"/>
      <c r="C8" s="85"/>
      <c r="D8" s="85"/>
    </row>
    <row r="9">
      <c r="A9" s="84" t="s">
        <v>151</v>
      </c>
      <c r="B9" s="85"/>
      <c r="C9" s="85"/>
      <c r="D9" s="85"/>
    </row>
    <row r="10">
      <c r="A10" s="84" t="s">
        <v>152</v>
      </c>
      <c r="B10" s="84">
        <f>Backlog!F150</f>
        <v>623</v>
      </c>
      <c r="C10" s="84" t="s">
        <v>77</v>
      </c>
      <c r="D10" s="84" t="s">
        <v>153</v>
      </c>
    </row>
    <row r="11">
      <c r="A11" s="84" t="s">
        <v>35</v>
      </c>
      <c r="B11" s="84">
        <v>30.0</v>
      </c>
      <c r="C11" s="84" t="s">
        <v>85</v>
      </c>
      <c r="D11" s="84" t="s">
        <v>154</v>
      </c>
    </row>
    <row r="12">
      <c r="A12" s="84" t="s">
        <v>38</v>
      </c>
      <c r="B12" s="84">
        <v>2.0</v>
      </c>
      <c r="C12" s="84" t="s">
        <v>39</v>
      </c>
      <c r="D12" s="84" t="s">
        <v>155</v>
      </c>
    </row>
    <row r="13">
      <c r="A13" s="84" t="s">
        <v>40</v>
      </c>
      <c r="B13" s="87">
        <v>46296.0</v>
      </c>
      <c r="C13" s="85"/>
      <c r="D13" s="84" t="s">
        <v>41</v>
      </c>
    </row>
    <row r="14">
      <c r="A14" s="85"/>
      <c r="B14" s="85"/>
      <c r="C14" s="85"/>
      <c r="D14" s="85"/>
    </row>
    <row r="15">
      <c r="A15" s="84" t="s">
        <v>156</v>
      </c>
      <c r="B15" s="85"/>
      <c r="C15" s="85"/>
      <c r="D15" s="85"/>
    </row>
    <row r="16">
      <c r="A16" s="84" t="s">
        <v>49</v>
      </c>
      <c r="B16" s="88">
        <f>B10/B11</f>
        <v>20.76666667</v>
      </c>
      <c r="C16" s="84" t="s">
        <v>50</v>
      </c>
      <c r="D16" s="84" t="s">
        <v>51</v>
      </c>
    </row>
    <row r="17">
      <c r="A17" s="84" t="s">
        <v>52</v>
      </c>
      <c r="B17" s="88">
        <f>B16+B16*0.1</f>
        <v>22.84333333</v>
      </c>
      <c r="C17" s="84" t="s">
        <v>50</v>
      </c>
      <c r="D17" s="84" t="s">
        <v>157</v>
      </c>
    </row>
    <row r="18">
      <c r="A18" s="84" t="s">
        <v>54</v>
      </c>
      <c r="B18" s="88">
        <f>(B17*2)/4.33</f>
        <v>10.55119323</v>
      </c>
      <c r="C18" s="84" t="s">
        <v>55</v>
      </c>
      <c r="D18" s="84" t="s">
        <v>56</v>
      </c>
    </row>
    <row r="19">
      <c r="A19" s="85"/>
      <c r="B19" s="84">
        <v>11.0</v>
      </c>
      <c r="C19" s="84" t="s">
        <v>57</v>
      </c>
      <c r="D19" s="85"/>
    </row>
    <row r="20">
      <c r="A20" s="84" t="s">
        <v>158</v>
      </c>
      <c r="B20" s="85"/>
      <c r="C20" s="85"/>
      <c r="D20" s="85"/>
    </row>
    <row r="21">
      <c r="A21" s="84" t="s">
        <v>159</v>
      </c>
      <c r="B21" s="85"/>
      <c r="C21" s="85"/>
      <c r="D21" s="85"/>
    </row>
    <row r="22">
      <c r="A22" s="84" t="s">
        <v>160</v>
      </c>
      <c r="B22" s="84">
        <v>0.6</v>
      </c>
      <c r="C22" s="84" t="s">
        <v>66</v>
      </c>
      <c r="D22" s="84" t="s">
        <v>161</v>
      </c>
    </row>
    <row r="23">
      <c r="A23" s="84" t="s">
        <v>162</v>
      </c>
      <c r="B23" s="89">
        <f>D7/(1-B22)</f>
        <v>116875</v>
      </c>
      <c r="C23" s="84" t="s">
        <v>31</v>
      </c>
      <c r="D23" s="84" t="s">
        <v>163</v>
      </c>
    </row>
    <row r="24">
      <c r="A24" s="85"/>
      <c r="B24" s="85"/>
      <c r="C24" s="85"/>
      <c r="D24" s="85"/>
    </row>
    <row r="25">
      <c r="A25" s="84" t="s">
        <v>164</v>
      </c>
      <c r="B25" s="85"/>
      <c r="C25" s="85"/>
      <c r="D25" s="85"/>
    </row>
    <row r="26">
      <c r="A26" s="84" t="s">
        <v>165</v>
      </c>
      <c r="B26" s="86">
        <f>D7</f>
        <v>46750</v>
      </c>
      <c r="C26" s="85"/>
      <c r="D26" s="84" t="s">
        <v>166</v>
      </c>
    </row>
    <row r="27">
      <c r="A27" s="84" t="s">
        <v>162</v>
      </c>
      <c r="B27" s="89">
        <v>120000.0</v>
      </c>
      <c r="C27" s="85"/>
      <c r="D27" s="84" t="s">
        <v>167</v>
      </c>
    </row>
    <row r="28">
      <c r="A28" s="84" t="s">
        <v>168</v>
      </c>
      <c r="B28" s="89">
        <f>B27-B26</f>
        <v>73250</v>
      </c>
      <c r="C28" s="85"/>
      <c r="D28" s="84" t="s">
        <v>169</v>
      </c>
    </row>
    <row r="29">
      <c r="A29" s="84" t="s">
        <v>170</v>
      </c>
      <c r="B29" s="88">
        <f>(B28/B27)*100</f>
        <v>61.04166667</v>
      </c>
      <c r="C29" s="85"/>
      <c r="D29" s="84" t="s">
        <v>171</v>
      </c>
    </row>
    <row r="30">
      <c r="A30" s="85"/>
      <c r="B30" s="85"/>
      <c r="C30" s="85"/>
      <c r="D30" s="85"/>
    </row>
    <row r="31">
      <c r="A31" s="84" t="s">
        <v>172</v>
      </c>
      <c r="B31" s="85"/>
      <c r="C31" s="85"/>
      <c r="D31" s="85"/>
    </row>
    <row r="32">
      <c r="A32" s="84" t="s">
        <v>173</v>
      </c>
      <c r="B32" s="89">
        <f>B26*B19</f>
        <v>514250</v>
      </c>
      <c r="C32" s="85"/>
      <c r="D32" s="84" t="s">
        <v>174</v>
      </c>
    </row>
    <row r="33">
      <c r="A33" s="84" t="s">
        <v>175</v>
      </c>
      <c r="B33" s="90">
        <f>B27*B19</f>
        <v>1320000</v>
      </c>
      <c r="C33" s="85"/>
      <c r="D33" s="85"/>
    </row>
    <row r="34">
      <c r="A34" s="84" t="s">
        <v>176</v>
      </c>
      <c r="B34" s="90">
        <f>B33-B32</f>
        <v>805750</v>
      </c>
      <c r="C34" s="85"/>
      <c r="D34" s="85"/>
    </row>
    <row r="35">
      <c r="A35" s="85"/>
      <c r="B35" s="85"/>
      <c r="C35" s="85"/>
      <c r="D35" s="8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43"/>
    <col customWidth="1" min="7" max="7" width="38.57"/>
  </cols>
  <sheetData>
    <row r="1">
      <c r="A1" s="91" t="s">
        <v>177</v>
      </c>
      <c r="B1" s="2"/>
      <c r="C1" s="2"/>
      <c r="D1" s="2"/>
      <c r="E1" s="2"/>
      <c r="F1" s="2"/>
      <c r="G1" s="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2" t="s">
        <v>178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3" t="s">
        <v>179</v>
      </c>
      <c r="B4" s="2"/>
      <c r="C4" s="2"/>
      <c r="D4" s="2"/>
      <c r="E4" s="2"/>
      <c r="F4" s="2"/>
      <c r="G4" s="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4" t="s">
        <v>180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5" t="s">
        <v>181</v>
      </c>
      <c r="B7" s="95" t="s">
        <v>182</v>
      </c>
      <c r="C7" s="95" t="s">
        <v>183</v>
      </c>
      <c r="D7" s="95" t="s">
        <v>184</v>
      </c>
      <c r="E7" s="96"/>
      <c r="F7" s="96"/>
      <c r="G7" s="95" t="s">
        <v>185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7" t="s">
        <v>186</v>
      </c>
      <c r="B8" s="98">
        <v>22000.0</v>
      </c>
      <c r="C8" s="99">
        <v>1.0</v>
      </c>
      <c r="D8" s="100">
        <f t="shared" ref="D8:D11" si="1">B8*C8</f>
        <v>22000</v>
      </c>
      <c r="E8" s="5"/>
      <c r="F8" s="5"/>
      <c r="G8" s="101" t="s">
        <v>187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7" t="s">
        <v>188</v>
      </c>
      <c r="B9" s="98">
        <v>15500.0</v>
      </c>
      <c r="C9" s="99">
        <v>1.0</v>
      </c>
      <c r="D9" s="100">
        <f t="shared" si="1"/>
        <v>15500</v>
      </c>
      <c r="E9" s="5"/>
      <c r="F9" s="5"/>
      <c r="G9" s="101" t="s">
        <v>189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7" t="s">
        <v>190</v>
      </c>
      <c r="B10" s="98">
        <v>14000.0</v>
      </c>
      <c r="C10" s="99">
        <v>0.5</v>
      </c>
      <c r="D10" s="100">
        <f t="shared" si="1"/>
        <v>7000</v>
      </c>
      <c r="E10" s="5"/>
      <c r="F10" s="5"/>
      <c r="G10" s="101" t="s">
        <v>191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7" t="s">
        <v>192</v>
      </c>
      <c r="B11" s="98">
        <v>16500.0</v>
      </c>
      <c r="C11" s="99">
        <v>0.5</v>
      </c>
      <c r="D11" s="100">
        <f t="shared" si="1"/>
        <v>8250</v>
      </c>
      <c r="E11" s="5"/>
      <c r="F11" s="5"/>
      <c r="G11" s="101" t="s">
        <v>193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2" t="s">
        <v>194</v>
      </c>
      <c r="B12" s="103"/>
      <c r="C12" s="103"/>
      <c r="D12" s="104">
        <f>SUM(D8:D11)</f>
        <v>52750</v>
      </c>
      <c r="E12" s="5"/>
      <c r="F12" s="5"/>
      <c r="G12" s="101" t="s">
        <v>195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7" t="s">
        <v>196</v>
      </c>
      <c r="B14" s="105">
        <v>2.0</v>
      </c>
      <c r="C14" s="106" t="s">
        <v>55</v>
      </c>
      <c r="D14" s="5"/>
      <c r="E14" s="5"/>
      <c r="F14" s="5"/>
      <c r="G14" s="101" t="s">
        <v>197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7" t="s">
        <v>198</v>
      </c>
      <c r="B15" s="108">
        <f>D12*B14</f>
        <v>105500</v>
      </c>
      <c r="C15" s="109"/>
      <c r="D15" s="109"/>
      <c r="E15" s="5"/>
      <c r="F15" s="5"/>
      <c r="G15" s="101" t="s">
        <v>199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0" t="s">
        <v>200</v>
      </c>
      <c r="B18" s="2"/>
      <c r="C18" s="2"/>
      <c r="D18" s="2"/>
      <c r="E18" s="2"/>
      <c r="F18" s="2"/>
      <c r="G18" s="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4" t="s">
        <v>201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7" t="s">
        <v>202</v>
      </c>
      <c r="B21" s="111">
        <f>SCRUM!B5</f>
        <v>46750</v>
      </c>
      <c r="C21" s="112" t="s">
        <v>31</v>
      </c>
      <c r="D21" s="5"/>
      <c r="E21" s="5"/>
      <c r="F21" s="5"/>
      <c r="G21" s="101" t="s">
        <v>203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7" t="s">
        <v>204</v>
      </c>
      <c r="B22" s="113">
        <f>SCRUM!B14</f>
        <v>623</v>
      </c>
      <c r="C22" s="112" t="s">
        <v>77</v>
      </c>
      <c r="D22" s="5"/>
      <c r="E22" s="5"/>
      <c r="F22" s="5"/>
      <c r="G22" s="101" t="s">
        <v>205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7" t="s">
        <v>35</v>
      </c>
      <c r="B23" s="113">
        <f>SCRUM!B8</f>
        <v>30</v>
      </c>
      <c r="C23" s="112" t="s">
        <v>85</v>
      </c>
      <c r="D23" s="5"/>
      <c r="E23" s="5"/>
      <c r="F23" s="5"/>
      <c r="G23" s="101" t="s">
        <v>205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7" t="s">
        <v>52</v>
      </c>
      <c r="B24" s="113">
        <f>SCRUM!B18</f>
        <v>22.84333333</v>
      </c>
      <c r="C24" s="112" t="s">
        <v>50</v>
      </c>
      <c r="D24" s="5"/>
      <c r="E24" s="5"/>
      <c r="F24" s="5"/>
      <c r="G24" s="101" t="s">
        <v>205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7" t="s">
        <v>206</v>
      </c>
      <c r="B25" s="113">
        <f>SCRUM!B19</f>
        <v>10.55119323</v>
      </c>
      <c r="C25" s="112" t="s">
        <v>55</v>
      </c>
      <c r="D25" s="5"/>
      <c r="E25" s="5"/>
      <c r="F25" s="5"/>
      <c r="G25" s="101" t="s">
        <v>205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14" t="s">
        <v>207</v>
      </c>
      <c r="B27" s="115">
        <f>B21*B25</f>
        <v>493268.2833</v>
      </c>
      <c r="C27" s="116"/>
      <c r="D27" s="116"/>
      <c r="E27" s="5"/>
      <c r="F27" s="5"/>
      <c r="G27" s="101" t="s">
        <v>208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17" t="s">
        <v>209</v>
      </c>
      <c r="B30" s="2"/>
      <c r="C30" s="2"/>
      <c r="D30" s="2"/>
      <c r="E30" s="2"/>
      <c r="F30" s="2"/>
      <c r="G30" s="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4" t="s">
        <v>210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5" t="s">
        <v>181</v>
      </c>
      <c r="B33" s="95" t="s">
        <v>182</v>
      </c>
      <c r="C33" s="95" t="s">
        <v>183</v>
      </c>
      <c r="D33" s="95" t="s">
        <v>184</v>
      </c>
      <c r="E33" s="96"/>
      <c r="F33" s="96"/>
      <c r="G33" s="95" t="s">
        <v>211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7" t="s">
        <v>212</v>
      </c>
      <c r="B34" s="98">
        <v>7500.0</v>
      </c>
      <c r="C34" s="99">
        <v>1.0</v>
      </c>
      <c r="D34" s="100">
        <f t="shared" ref="D34:D37" si="2">B34*C34</f>
        <v>7500</v>
      </c>
      <c r="E34" s="5"/>
      <c r="F34" s="5"/>
      <c r="G34" s="101" t="s">
        <v>213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7" t="s">
        <v>190</v>
      </c>
      <c r="B35" s="98">
        <v>14000.0</v>
      </c>
      <c r="C35" s="99">
        <v>1.0</v>
      </c>
      <c r="D35" s="100">
        <f t="shared" si="2"/>
        <v>14000</v>
      </c>
      <c r="E35" s="5"/>
      <c r="F35" s="5"/>
      <c r="G35" s="101" t="s">
        <v>214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7" t="s">
        <v>188</v>
      </c>
      <c r="B36" s="98">
        <v>15500.0</v>
      </c>
      <c r="C36" s="99">
        <v>1.0</v>
      </c>
      <c r="D36" s="100">
        <f t="shared" si="2"/>
        <v>15500</v>
      </c>
      <c r="E36" s="5"/>
      <c r="F36" s="5"/>
      <c r="G36" s="101" t="s">
        <v>215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7" t="s">
        <v>186</v>
      </c>
      <c r="B37" s="98">
        <v>22000.0</v>
      </c>
      <c r="C37" s="99">
        <v>0.3</v>
      </c>
      <c r="D37" s="100">
        <f t="shared" si="2"/>
        <v>6600</v>
      </c>
      <c r="E37" s="5"/>
      <c r="F37" s="5"/>
      <c r="G37" s="101" t="s">
        <v>216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02" t="s">
        <v>217</v>
      </c>
      <c r="B38" s="103"/>
      <c r="C38" s="103"/>
      <c r="D38" s="104">
        <f>SUM(D34:D37)</f>
        <v>43600</v>
      </c>
      <c r="E38" s="5"/>
      <c r="F38" s="5"/>
      <c r="G38" s="101" t="s">
        <v>195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97" t="s">
        <v>218</v>
      </c>
      <c r="B40" s="105">
        <v>1.5</v>
      </c>
      <c r="C40" s="112" t="s">
        <v>55</v>
      </c>
      <c r="D40" s="5"/>
      <c r="E40" s="5"/>
      <c r="F40" s="5"/>
      <c r="G40" s="101" t="s">
        <v>219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18" t="s">
        <v>220</v>
      </c>
      <c r="B41" s="119">
        <f>D38*B40</f>
        <v>65400</v>
      </c>
      <c r="C41" s="120"/>
      <c r="D41" s="120"/>
      <c r="E41" s="5"/>
      <c r="F41" s="5"/>
      <c r="G41" s="101" t="s">
        <v>199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21" t="s">
        <v>221</v>
      </c>
      <c r="B44" s="2"/>
      <c r="C44" s="2"/>
      <c r="D44" s="2"/>
      <c r="E44" s="2"/>
      <c r="F44" s="2"/>
      <c r="G44" s="3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4" t="s">
        <v>222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5" t="s">
        <v>223</v>
      </c>
      <c r="B47" s="95" t="s">
        <v>224</v>
      </c>
      <c r="C47" s="95" t="s">
        <v>225</v>
      </c>
      <c r="D47" s="96"/>
      <c r="E47" s="96"/>
      <c r="F47" s="96"/>
      <c r="G47" s="95" t="s">
        <v>226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7" t="s">
        <v>227</v>
      </c>
      <c r="B48" s="98">
        <v>20000.0</v>
      </c>
      <c r="C48" s="106" t="s">
        <v>228</v>
      </c>
      <c r="D48" s="5"/>
      <c r="E48" s="5"/>
      <c r="F48" s="5"/>
      <c r="G48" s="101" t="s">
        <v>229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7" t="s">
        <v>230</v>
      </c>
      <c r="B49" s="98">
        <v>15000.0</v>
      </c>
      <c r="C49" s="106" t="s">
        <v>231</v>
      </c>
      <c r="D49" s="5"/>
      <c r="E49" s="5"/>
      <c r="F49" s="5"/>
      <c r="G49" s="101" t="s">
        <v>232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97" t="s">
        <v>233</v>
      </c>
      <c r="B50" s="98">
        <v>20000.0</v>
      </c>
      <c r="C50" s="106" t="s">
        <v>231</v>
      </c>
      <c r="D50" s="5"/>
      <c r="E50" s="5"/>
      <c r="F50" s="5"/>
      <c r="G50" s="101" t="s">
        <v>234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7" t="s">
        <v>235</v>
      </c>
      <c r="B51" s="98">
        <v>30000.0</v>
      </c>
      <c r="C51" s="106" t="s">
        <v>236</v>
      </c>
      <c r="D51" s="5"/>
      <c r="E51" s="5"/>
      <c r="F51" s="5"/>
      <c r="G51" s="101" t="s">
        <v>237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97" t="s">
        <v>238</v>
      </c>
      <c r="B52" s="98">
        <v>15000.0</v>
      </c>
      <c r="C52" s="106" t="s">
        <v>236</v>
      </c>
      <c r="D52" s="5"/>
      <c r="E52" s="5"/>
      <c r="F52" s="5"/>
      <c r="G52" s="101" t="s">
        <v>239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7" t="s">
        <v>240</v>
      </c>
      <c r="B53" s="98">
        <v>25000.0</v>
      </c>
      <c r="C53" s="106" t="s">
        <v>236</v>
      </c>
      <c r="D53" s="5"/>
      <c r="E53" s="5"/>
      <c r="F53" s="5"/>
      <c r="G53" s="101" t="s">
        <v>241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97" t="s">
        <v>242</v>
      </c>
      <c r="B54" s="98">
        <v>30000.0</v>
      </c>
      <c r="C54" s="106" t="s">
        <v>243</v>
      </c>
      <c r="D54" s="5"/>
      <c r="E54" s="5"/>
      <c r="F54" s="5"/>
      <c r="G54" s="101" t="s">
        <v>244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22" t="s">
        <v>245</v>
      </c>
      <c r="B55" s="123">
        <f>SUM(B48:B54)</f>
        <v>155000</v>
      </c>
      <c r="C55" s="124"/>
      <c r="D55" s="124"/>
      <c r="E55" s="5"/>
      <c r="F55" s="5"/>
      <c r="G55" s="101" t="s">
        <v>246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25" t="s">
        <v>247</v>
      </c>
      <c r="B58" s="2"/>
      <c r="C58" s="2"/>
      <c r="D58" s="2"/>
      <c r="E58" s="2"/>
      <c r="F58" s="2"/>
      <c r="G58" s="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95" t="s">
        <v>223</v>
      </c>
      <c r="B59" s="95" t="s">
        <v>248</v>
      </c>
      <c r="C59" s="95" t="s">
        <v>249</v>
      </c>
      <c r="D59" s="96"/>
      <c r="E59" s="96"/>
      <c r="F59" s="96"/>
      <c r="G59" s="95" t="s">
        <v>250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26" t="s">
        <v>251</v>
      </c>
      <c r="B60" s="111">
        <f>B15</f>
        <v>105500</v>
      </c>
      <c r="C60" s="127">
        <f>B14</f>
        <v>2</v>
      </c>
      <c r="D60" s="5"/>
      <c r="E60" s="5"/>
      <c r="F60" s="5"/>
      <c r="G60" s="101" t="s">
        <v>252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26" t="s">
        <v>253</v>
      </c>
      <c r="B61" s="111">
        <f>B27</f>
        <v>493268.2833</v>
      </c>
      <c r="C61" s="127">
        <f>B25</f>
        <v>10.55119323</v>
      </c>
      <c r="D61" s="5"/>
      <c r="E61" s="5"/>
      <c r="F61" s="5"/>
      <c r="G61" s="101" t="s">
        <v>254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26" t="s">
        <v>255</v>
      </c>
      <c r="B62" s="111">
        <f>B41</f>
        <v>65400</v>
      </c>
      <c r="C62" s="127">
        <f>B40</f>
        <v>1.5</v>
      </c>
      <c r="D62" s="5"/>
      <c r="E62" s="5"/>
      <c r="F62" s="5"/>
      <c r="G62" s="101" t="s">
        <v>256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26" t="s">
        <v>257</v>
      </c>
      <c r="B63" s="111">
        <f>B55</f>
        <v>155000</v>
      </c>
      <c r="C63" s="112" t="s">
        <v>258</v>
      </c>
      <c r="D63" s="5"/>
      <c r="E63" s="5"/>
      <c r="F63" s="5"/>
      <c r="G63" s="101" t="s">
        <v>259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02" t="s">
        <v>260</v>
      </c>
      <c r="B64" s="128">
        <f>SUM(B60:B63)</f>
        <v>819168.2833</v>
      </c>
      <c r="C64" s="129">
        <f>B14+B25+B40</f>
        <v>14.05119323</v>
      </c>
      <c r="D64" s="5"/>
      <c r="E64" s="5"/>
      <c r="F64" s="5"/>
      <c r="G64" s="101" t="s">
        <v>261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30" t="s">
        <v>262</v>
      </c>
      <c r="B66" s="2"/>
      <c r="C66" s="2"/>
      <c r="D66" s="2"/>
      <c r="E66" s="2"/>
      <c r="F66" s="2"/>
      <c r="G66" s="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97" t="s">
        <v>263</v>
      </c>
      <c r="B68" s="131">
        <v>0.45</v>
      </c>
      <c r="C68" s="112" t="s">
        <v>66</v>
      </c>
      <c r="D68" s="5"/>
      <c r="E68" s="5"/>
      <c r="F68" s="5"/>
      <c r="G68" s="101" t="s">
        <v>264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02" t="s">
        <v>265</v>
      </c>
      <c r="B69" s="128">
        <f>B64/(1-B68)</f>
        <v>1489396.879</v>
      </c>
      <c r="C69" s="5"/>
      <c r="D69" s="5"/>
      <c r="E69" s="5"/>
      <c r="F69" s="5"/>
      <c r="G69" s="101" t="s">
        <v>266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02" t="s">
        <v>267</v>
      </c>
      <c r="B71" s="128">
        <f>B69-B64</f>
        <v>670228.5954</v>
      </c>
      <c r="C71" s="5"/>
      <c r="D71" s="5"/>
      <c r="E71" s="5"/>
      <c r="F71" s="5"/>
      <c r="G71" s="101" t="s">
        <v>268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02" t="s">
        <v>143</v>
      </c>
      <c r="B72" s="132">
        <f>B71/B64</f>
        <v>0.8181818182</v>
      </c>
      <c r="C72" s="5"/>
      <c r="D72" s="5"/>
      <c r="E72" s="5"/>
      <c r="F72" s="5"/>
      <c r="G72" s="101" t="s">
        <v>269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mergeCells count="13">
    <mergeCell ref="A31:G31"/>
    <mergeCell ref="A44:G44"/>
    <mergeCell ref="A45:G45"/>
    <mergeCell ref="A58:G58"/>
    <mergeCell ref="A66:G66"/>
    <mergeCell ref="A67:G67"/>
    <mergeCell ref="A1:G1"/>
    <mergeCell ref="A2:G2"/>
    <mergeCell ref="A4:G4"/>
    <mergeCell ref="A5:G5"/>
    <mergeCell ref="A18:G18"/>
    <mergeCell ref="A19:G19"/>
    <mergeCell ref="A30:G3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outlinePr summaryBelow="0" summaryRight="0"/>
  </sheetPr>
  <sheetViews>
    <sheetView workbookViewId="0"/>
  </sheetViews>
  <sheetFormatPr customHeight="1" defaultColWidth="14.43" defaultRowHeight="15.0"/>
  <cols>
    <col customWidth="1" min="1" max="1" width="61.29"/>
    <col customWidth="1" min="2" max="2" width="18.14"/>
    <col customWidth="1" min="3" max="5" width="15.43"/>
    <col customWidth="1" min="7" max="7" width="41.29"/>
  </cols>
  <sheetData>
    <row r="1">
      <c r="A1" s="133" t="s">
        <v>270</v>
      </c>
      <c r="B1" s="2"/>
      <c r="C1" s="2"/>
      <c r="D1" s="2"/>
      <c r="E1" s="2"/>
      <c r="F1" s="2"/>
      <c r="G1" s="3"/>
    </row>
    <row r="2">
      <c r="A2" s="134" t="s">
        <v>271</v>
      </c>
    </row>
    <row r="3">
      <c r="A3" s="5"/>
      <c r="B3" s="5"/>
      <c r="C3" s="5"/>
      <c r="D3" s="5"/>
      <c r="E3" s="5"/>
      <c r="F3" s="5"/>
      <c r="G3" s="5"/>
    </row>
    <row r="4">
      <c r="A4" s="135" t="s">
        <v>272</v>
      </c>
      <c r="B4" s="2"/>
      <c r="C4" s="2"/>
      <c r="D4" s="2"/>
      <c r="E4" s="2"/>
      <c r="F4" s="2"/>
      <c r="G4" s="3"/>
    </row>
    <row r="5">
      <c r="A5" s="136" t="s">
        <v>223</v>
      </c>
      <c r="B5" s="137" t="s">
        <v>3</v>
      </c>
      <c r="C5" s="138" t="s">
        <v>4</v>
      </c>
      <c r="D5" s="139" t="s">
        <v>5</v>
      </c>
      <c r="E5" s="140" t="s">
        <v>6</v>
      </c>
      <c r="F5" s="141" t="s">
        <v>7</v>
      </c>
      <c r="G5" s="136" t="s">
        <v>250</v>
      </c>
    </row>
    <row r="6">
      <c r="A6" s="142" t="s">
        <v>273</v>
      </c>
      <c r="B6" s="143">
        <f>SCRUM!B24</f>
        <v>514250</v>
      </c>
      <c r="C6" s="143">
        <f>KANBAN!B25</f>
        <v>935000</v>
      </c>
      <c r="D6" s="143">
        <f>SCRUMBAN!B40</f>
        <v>423087.5</v>
      </c>
      <c r="E6" s="143">
        <f>XP!B32</f>
        <v>514250</v>
      </c>
      <c r="F6" s="144">
        <f>'Water Scrum Fall'!B15+'Water Scrum Fall'!B27+'Water Scrum Fall'!B41</f>
        <v>664168.2833</v>
      </c>
      <c r="G6" s="101" t="s">
        <v>274</v>
      </c>
    </row>
    <row r="7">
      <c r="A7" s="142" t="s">
        <v>275</v>
      </c>
      <c r="B7" s="143">
        <f>B17</f>
        <v>35000</v>
      </c>
      <c r="C7" s="143">
        <f>B17</f>
        <v>35000</v>
      </c>
      <c r="D7" s="143">
        <f>B17</f>
        <v>35000</v>
      </c>
      <c r="E7" s="143">
        <f>B17</f>
        <v>35000</v>
      </c>
      <c r="F7" s="144">
        <f>B17+'Water Scrum Fall'!B55</f>
        <v>190000</v>
      </c>
      <c r="G7" s="101" t="s">
        <v>276</v>
      </c>
    </row>
    <row r="8">
      <c r="A8" s="145" t="s">
        <v>277</v>
      </c>
      <c r="B8" s="146">
        <f t="shared" ref="B8:F8" si="1">B6+B7</f>
        <v>549250</v>
      </c>
      <c r="C8" s="146">
        <f t="shared" si="1"/>
        <v>970000</v>
      </c>
      <c r="D8" s="146">
        <f t="shared" si="1"/>
        <v>458087.5</v>
      </c>
      <c r="E8" s="146">
        <f t="shared" si="1"/>
        <v>549250</v>
      </c>
      <c r="F8" s="104">
        <f t="shared" si="1"/>
        <v>854168.2833</v>
      </c>
      <c r="G8" s="101" t="s">
        <v>278</v>
      </c>
    </row>
    <row r="9">
      <c r="A9" s="5"/>
      <c r="B9" s="5"/>
      <c r="C9" s="5"/>
      <c r="D9" s="5"/>
      <c r="E9" s="5"/>
      <c r="F9" s="5"/>
      <c r="G9" s="5"/>
    </row>
    <row r="10">
      <c r="A10" s="135" t="s">
        <v>279</v>
      </c>
      <c r="B10" s="2"/>
      <c r="C10" s="2"/>
      <c r="D10" s="2"/>
      <c r="E10" s="2"/>
      <c r="F10" s="2"/>
      <c r="G10" s="3"/>
    </row>
    <row r="11">
      <c r="A11" s="136" t="s">
        <v>223</v>
      </c>
      <c r="B11" s="136" t="s">
        <v>224</v>
      </c>
      <c r="C11" s="5"/>
      <c r="D11" s="5"/>
      <c r="E11" s="5"/>
      <c r="F11" s="5"/>
      <c r="G11" s="136" t="s">
        <v>226</v>
      </c>
    </row>
    <row r="12">
      <c r="A12" s="142" t="s">
        <v>280</v>
      </c>
      <c r="B12" s="147">
        <v>8000.0</v>
      </c>
      <c r="C12" s="5"/>
      <c r="D12" s="5"/>
      <c r="E12" s="5"/>
      <c r="F12" s="5"/>
      <c r="G12" s="101" t="s">
        <v>281</v>
      </c>
    </row>
    <row r="13">
      <c r="A13" s="142" t="s">
        <v>282</v>
      </c>
      <c r="B13" s="147">
        <v>12000.0</v>
      </c>
      <c r="C13" s="5"/>
      <c r="D13" s="5"/>
      <c r="E13" s="5"/>
      <c r="F13" s="5"/>
      <c r="G13" s="101" t="s">
        <v>283</v>
      </c>
    </row>
    <row r="14">
      <c r="A14" s="142" t="s">
        <v>284</v>
      </c>
      <c r="B14" s="147">
        <v>5000.0</v>
      </c>
      <c r="C14" s="5"/>
      <c r="D14" s="5"/>
      <c r="E14" s="5"/>
      <c r="F14" s="5"/>
      <c r="G14" s="101" t="s">
        <v>285</v>
      </c>
    </row>
    <row r="15">
      <c r="A15" s="142" t="s">
        <v>286</v>
      </c>
      <c r="B15" s="147">
        <v>6000.0</v>
      </c>
      <c r="C15" s="5"/>
      <c r="D15" s="5"/>
      <c r="E15" s="5"/>
      <c r="F15" s="5"/>
      <c r="G15" s="101" t="s">
        <v>287</v>
      </c>
    </row>
    <row r="16">
      <c r="A16" s="142" t="s">
        <v>288</v>
      </c>
      <c r="B16" s="147">
        <v>4000.0</v>
      </c>
      <c r="C16" s="5"/>
      <c r="D16" s="5"/>
      <c r="E16" s="5"/>
      <c r="F16" s="5"/>
      <c r="G16" s="101" t="s">
        <v>289</v>
      </c>
    </row>
    <row r="17">
      <c r="A17" s="145" t="s">
        <v>290</v>
      </c>
      <c r="B17" s="146">
        <f>SUM(B12:B16)</f>
        <v>35000</v>
      </c>
      <c r="C17" s="5"/>
      <c r="D17" s="5"/>
      <c r="E17" s="5"/>
      <c r="F17" s="5"/>
      <c r="G17" s="101" t="s">
        <v>291</v>
      </c>
    </row>
    <row r="18">
      <c r="A18" s="5"/>
      <c r="B18" s="5"/>
      <c r="C18" s="5"/>
      <c r="D18" s="5"/>
      <c r="E18" s="5"/>
      <c r="F18" s="5"/>
      <c r="G18" s="5"/>
    </row>
    <row r="19">
      <c r="A19" s="135" t="s">
        <v>292</v>
      </c>
      <c r="B19" s="2"/>
      <c r="C19" s="2"/>
      <c r="D19" s="2"/>
      <c r="E19" s="2"/>
      <c r="F19" s="2"/>
      <c r="G19" s="3"/>
    </row>
    <row r="20">
      <c r="A20" s="148" t="s">
        <v>293</v>
      </c>
    </row>
    <row r="21">
      <c r="A21" s="136" t="s">
        <v>294</v>
      </c>
      <c r="B21" s="136" t="s">
        <v>295</v>
      </c>
      <c r="C21" s="136" t="s">
        <v>296</v>
      </c>
      <c r="D21" s="136" t="s">
        <v>297</v>
      </c>
      <c r="E21" s="149" t="s">
        <v>298</v>
      </c>
      <c r="F21" s="149" t="s">
        <v>299</v>
      </c>
      <c r="G21" s="136" t="s">
        <v>300</v>
      </c>
    </row>
    <row r="22">
      <c r="A22" s="142" t="s">
        <v>301</v>
      </c>
      <c r="B22" s="150">
        <v>0.3</v>
      </c>
      <c r="C22" s="151">
        <f t="shared" ref="C22:C26" si="2">E22*F22</f>
        <v>70125</v>
      </c>
      <c r="D22" s="152">
        <f t="shared" ref="D22:D26" si="3">B22*C22</f>
        <v>21037.5</v>
      </c>
      <c r="E22" s="153">
        <f>Equipo!E13</f>
        <v>46750</v>
      </c>
      <c r="F22" s="154">
        <v>1.5</v>
      </c>
      <c r="G22" s="101" t="s">
        <v>302</v>
      </c>
    </row>
    <row r="23">
      <c r="A23" s="142" t="s">
        <v>303</v>
      </c>
      <c r="B23" s="150">
        <v>0.25</v>
      </c>
      <c r="C23" s="151">
        <f t="shared" si="2"/>
        <v>23375</v>
      </c>
      <c r="D23" s="152">
        <f t="shared" si="3"/>
        <v>5843.75</v>
      </c>
      <c r="E23" s="153">
        <f>Equipo!E13</f>
        <v>46750</v>
      </c>
      <c r="F23" s="154">
        <v>0.5</v>
      </c>
      <c r="G23" s="101" t="s">
        <v>304</v>
      </c>
    </row>
    <row r="24">
      <c r="A24" s="142" t="s">
        <v>305</v>
      </c>
      <c r="B24" s="150">
        <v>0.25</v>
      </c>
      <c r="C24" s="151">
        <f t="shared" si="2"/>
        <v>7012.5</v>
      </c>
      <c r="D24" s="152">
        <f t="shared" si="3"/>
        <v>1753.125</v>
      </c>
      <c r="E24" s="153">
        <f>Equipo!E13</f>
        <v>46750</v>
      </c>
      <c r="F24" s="154">
        <v>0.15</v>
      </c>
      <c r="G24" s="101" t="s">
        <v>306</v>
      </c>
    </row>
    <row r="25">
      <c r="A25" s="142" t="s">
        <v>307</v>
      </c>
      <c r="B25" s="150">
        <v>0.2</v>
      </c>
      <c r="C25" s="151">
        <f t="shared" si="2"/>
        <v>11687.5</v>
      </c>
      <c r="D25" s="152">
        <f t="shared" si="3"/>
        <v>2337.5</v>
      </c>
      <c r="E25" s="153">
        <f>Equipo!E13</f>
        <v>46750</v>
      </c>
      <c r="F25" s="154">
        <v>0.25</v>
      </c>
      <c r="G25" s="101" t="s">
        <v>308</v>
      </c>
    </row>
    <row r="26">
      <c r="A26" s="142" t="s">
        <v>309</v>
      </c>
      <c r="B26" s="150">
        <v>0.15</v>
      </c>
      <c r="C26" s="151">
        <f t="shared" si="2"/>
        <v>11687.5</v>
      </c>
      <c r="D26" s="152">
        <f t="shared" si="3"/>
        <v>1753.125</v>
      </c>
      <c r="E26" s="153">
        <f>Equipo!E13</f>
        <v>46750</v>
      </c>
      <c r="F26" s="154">
        <v>0.25</v>
      </c>
      <c r="G26" s="101" t="s">
        <v>310</v>
      </c>
    </row>
    <row r="27">
      <c r="A27" s="145" t="s">
        <v>311</v>
      </c>
      <c r="B27" s="103"/>
      <c r="C27" s="103"/>
      <c r="D27" s="146">
        <f>SUM(D22:D26)</f>
        <v>32725</v>
      </c>
      <c r="E27" s="5"/>
      <c r="F27" s="5"/>
      <c r="G27" s="101" t="s">
        <v>312</v>
      </c>
    </row>
    <row r="28">
      <c r="A28" s="5"/>
      <c r="B28" s="5"/>
      <c r="C28" s="5"/>
      <c r="D28" s="5"/>
      <c r="E28" s="5"/>
      <c r="F28" s="5"/>
      <c r="G28" s="5"/>
    </row>
    <row r="29">
      <c r="A29" s="135" t="s">
        <v>313</v>
      </c>
      <c r="B29" s="2"/>
      <c r="C29" s="2"/>
      <c r="D29" s="2"/>
      <c r="E29" s="2"/>
      <c r="F29" s="2"/>
      <c r="G29" s="3"/>
    </row>
    <row r="30">
      <c r="A30" s="136" t="s">
        <v>223</v>
      </c>
      <c r="B30" s="137" t="s">
        <v>3</v>
      </c>
      <c r="C30" s="138" t="s">
        <v>4</v>
      </c>
      <c r="D30" s="139" t="s">
        <v>5</v>
      </c>
      <c r="E30" s="140" t="s">
        <v>6</v>
      </c>
      <c r="F30" s="141" t="s">
        <v>7</v>
      </c>
      <c r="G30" s="136" t="s">
        <v>250</v>
      </c>
    </row>
    <row r="31">
      <c r="A31" s="142" t="s">
        <v>314</v>
      </c>
      <c r="B31" s="143">
        <f t="shared" ref="B31:F31" si="4">B8</f>
        <v>549250</v>
      </c>
      <c r="C31" s="143">
        <f t="shared" si="4"/>
        <v>970000</v>
      </c>
      <c r="D31" s="143">
        <f t="shared" si="4"/>
        <v>458087.5</v>
      </c>
      <c r="E31" s="143">
        <f t="shared" si="4"/>
        <v>549250</v>
      </c>
      <c r="F31" s="144">
        <f t="shared" si="4"/>
        <v>854168.2833</v>
      </c>
      <c r="G31" s="155"/>
    </row>
    <row r="32">
      <c r="A32" s="142" t="s">
        <v>315</v>
      </c>
      <c r="B32" s="143">
        <f>D27</f>
        <v>32725</v>
      </c>
      <c r="C32" s="143">
        <f>D27</f>
        <v>32725</v>
      </c>
      <c r="D32" s="143">
        <f>D27</f>
        <v>32725</v>
      </c>
      <c r="E32" s="143">
        <f>D27</f>
        <v>32725</v>
      </c>
      <c r="F32" s="144">
        <f>D27</f>
        <v>32725</v>
      </c>
      <c r="G32" s="155"/>
    </row>
    <row r="33">
      <c r="A33" s="145" t="s">
        <v>316</v>
      </c>
      <c r="B33" s="146">
        <f t="shared" ref="B33:F33" si="5">SUM(B31:B32)</f>
        <v>581975</v>
      </c>
      <c r="C33" s="146">
        <f t="shared" si="5"/>
        <v>1002725</v>
      </c>
      <c r="D33" s="146">
        <f t="shared" si="5"/>
        <v>490812.5</v>
      </c>
      <c r="E33" s="146">
        <f t="shared" si="5"/>
        <v>581975</v>
      </c>
      <c r="F33" s="104">
        <f t="shared" si="5"/>
        <v>886893.2833</v>
      </c>
      <c r="G33" s="101" t="s">
        <v>317</v>
      </c>
    </row>
    <row r="34">
      <c r="A34" s="5"/>
      <c r="B34" s="5"/>
      <c r="C34" s="5"/>
      <c r="D34" s="5"/>
      <c r="E34" s="5"/>
      <c r="F34" s="5"/>
      <c r="G34" s="5"/>
    </row>
    <row r="35">
      <c r="A35" s="135" t="s">
        <v>318</v>
      </c>
      <c r="B35" s="2"/>
      <c r="C35" s="2"/>
      <c r="D35" s="2"/>
      <c r="E35" s="2"/>
      <c r="F35" s="2"/>
      <c r="G35" s="3"/>
    </row>
    <row r="36">
      <c r="A36" s="136" t="s">
        <v>223</v>
      </c>
      <c r="B36" s="137" t="s">
        <v>3</v>
      </c>
      <c r="C36" s="138" t="s">
        <v>4</v>
      </c>
      <c r="D36" s="139" t="s">
        <v>5</v>
      </c>
      <c r="E36" s="140" t="s">
        <v>6</v>
      </c>
      <c r="F36" s="141" t="s">
        <v>7</v>
      </c>
      <c r="G36" s="136" t="s">
        <v>250</v>
      </c>
    </row>
    <row r="37">
      <c r="A37" s="142" t="s">
        <v>319</v>
      </c>
      <c r="B37" s="143">
        <f>SCRUM!B25</f>
        <v>1067925.833</v>
      </c>
      <c r="C37" s="143">
        <f>KANBAN!B24</f>
        <v>2400000</v>
      </c>
      <c r="D37" s="143">
        <f>SCRUMBAN!B39</f>
        <v>1057718.75</v>
      </c>
      <c r="E37" s="143">
        <f>XP!B27*XP!B19</f>
        <v>1320000</v>
      </c>
      <c r="F37" s="144">
        <f>'Water Scrum Fall'!B69</f>
        <v>1489396.879</v>
      </c>
      <c r="G37" s="101" t="s">
        <v>320</v>
      </c>
    </row>
    <row r="38">
      <c r="A38" s="5"/>
      <c r="B38" s="5"/>
      <c r="C38" s="5"/>
      <c r="D38" s="5"/>
      <c r="E38" s="5"/>
      <c r="F38" s="5"/>
      <c r="G38" s="5"/>
    </row>
    <row r="39">
      <c r="A39" s="135" t="s">
        <v>321</v>
      </c>
      <c r="B39" s="2"/>
      <c r="C39" s="2"/>
      <c r="D39" s="2"/>
      <c r="E39" s="2"/>
      <c r="F39" s="2"/>
      <c r="G39" s="3"/>
    </row>
    <row r="40">
      <c r="A40" s="148" t="s">
        <v>322</v>
      </c>
    </row>
    <row r="41">
      <c r="A41" s="136" t="s">
        <v>223</v>
      </c>
      <c r="B41" s="136" t="s">
        <v>323</v>
      </c>
      <c r="C41" s="5"/>
      <c r="D41" s="5"/>
      <c r="E41" s="5"/>
      <c r="F41" s="5"/>
      <c r="G41" s="136" t="s">
        <v>226</v>
      </c>
    </row>
    <row r="42">
      <c r="A42" s="142" t="s">
        <v>324</v>
      </c>
      <c r="B42" s="150">
        <v>0.05</v>
      </c>
      <c r="C42" s="5"/>
      <c r="D42" s="5"/>
      <c r="E42" s="5"/>
      <c r="F42" s="5"/>
      <c r="G42" s="101" t="s">
        <v>325</v>
      </c>
    </row>
    <row r="43">
      <c r="A43" s="142" t="s">
        <v>326</v>
      </c>
      <c r="B43" s="150">
        <v>0.08</v>
      </c>
      <c r="C43" s="5"/>
      <c r="D43" s="5"/>
      <c r="E43" s="5"/>
      <c r="F43" s="5"/>
      <c r="G43" s="101" t="s">
        <v>327</v>
      </c>
    </row>
    <row r="44">
      <c r="A44" s="142" t="s">
        <v>328</v>
      </c>
      <c r="B44" s="150">
        <v>0.25</v>
      </c>
      <c r="C44" s="5"/>
      <c r="D44" s="5"/>
      <c r="E44" s="5"/>
      <c r="F44" s="5"/>
      <c r="G44" s="101" t="s">
        <v>329</v>
      </c>
    </row>
    <row r="45">
      <c r="A45" s="145" t="s">
        <v>330</v>
      </c>
      <c r="B45" s="156">
        <f>SUM(B42:B44)</f>
        <v>0.38</v>
      </c>
      <c r="C45" s="5"/>
      <c r="D45" s="5"/>
      <c r="E45" s="5"/>
      <c r="F45" s="5"/>
      <c r="G45" s="101" t="s">
        <v>331</v>
      </c>
    </row>
    <row r="46">
      <c r="A46" s="5"/>
      <c r="B46" s="5"/>
      <c r="C46" s="5"/>
      <c r="D46" s="5"/>
      <c r="E46" s="5"/>
      <c r="F46" s="5"/>
      <c r="G46" s="5"/>
    </row>
    <row r="47">
      <c r="A47" s="135" t="s">
        <v>332</v>
      </c>
      <c r="B47" s="2"/>
      <c r="C47" s="2"/>
      <c r="D47" s="2"/>
      <c r="E47" s="2"/>
      <c r="F47" s="2"/>
      <c r="G47" s="3"/>
    </row>
    <row r="48">
      <c r="A48" s="136" t="s">
        <v>333</v>
      </c>
      <c r="B48" s="136" t="s">
        <v>334</v>
      </c>
      <c r="C48" s="5"/>
      <c r="D48" s="5"/>
      <c r="E48" s="5"/>
      <c r="F48" s="5"/>
      <c r="G48" s="136" t="s">
        <v>226</v>
      </c>
    </row>
    <row r="49">
      <c r="A49" s="142" t="s">
        <v>335</v>
      </c>
      <c r="B49" s="151">
        <v>240000.0</v>
      </c>
      <c r="C49" s="5"/>
      <c r="D49" s="5"/>
      <c r="E49" s="5"/>
      <c r="F49" s="5"/>
      <c r="G49" s="101" t="s">
        <v>336</v>
      </c>
    </row>
    <row r="50">
      <c r="A50" s="142" t="s">
        <v>337</v>
      </c>
      <c r="B50" s="151">
        <v>75000.0</v>
      </c>
      <c r="C50" s="5"/>
      <c r="D50" s="5"/>
      <c r="E50" s="5"/>
      <c r="F50" s="5"/>
      <c r="G50" s="101" t="s">
        <v>338</v>
      </c>
    </row>
    <row r="51">
      <c r="A51" s="142" t="s">
        <v>339</v>
      </c>
      <c r="B51" s="151">
        <v>90000.0</v>
      </c>
      <c r="C51" s="5"/>
      <c r="D51" s="5"/>
      <c r="E51" s="5"/>
      <c r="F51" s="5"/>
      <c r="G51" s="101" t="s">
        <v>340</v>
      </c>
    </row>
    <row r="52">
      <c r="A52" s="142" t="s">
        <v>341</v>
      </c>
      <c r="B52" s="151">
        <v>90000.0</v>
      </c>
      <c r="C52" s="5"/>
      <c r="D52" s="5"/>
      <c r="E52" s="5"/>
      <c r="F52" s="5"/>
      <c r="G52" s="101" t="s">
        <v>342</v>
      </c>
    </row>
    <row r="53">
      <c r="A53" s="145" t="s">
        <v>343</v>
      </c>
      <c r="B53" s="146">
        <f>SUM(B49:B52)</f>
        <v>495000</v>
      </c>
      <c r="C53" s="5"/>
      <c r="D53" s="5"/>
      <c r="E53" s="5"/>
      <c r="F53" s="5"/>
      <c r="G53" s="101" t="s">
        <v>344</v>
      </c>
    </row>
    <row r="54">
      <c r="A54" s="142" t="s">
        <v>345</v>
      </c>
      <c r="B54" s="152">
        <f>B53/12</f>
        <v>41250</v>
      </c>
      <c r="C54" s="5"/>
      <c r="D54" s="5"/>
      <c r="E54" s="5"/>
      <c r="F54" s="5"/>
      <c r="G54" s="101" t="s">
        <v>346</v>
      </c>
    </row>
    <row r="55">
      <c r="A55" s="5"/>
      <c r="B55" s="5"/>
      <c r="C55" s="5"/>
      <c r="D55" s="5"/>
      <c r="E55" s="5"/>
      <c r="F55" s="5"/>
      <c r="G55" s="5"/>
    </row>
    <row r="56">
      <c r="A56" s="135" t="s">
        <v>347</v>
      </c>
      <c r="B56" s="2"/>
      <c r="C56" s="2"/>
      <c r="D56" s="2"/>
      <c r="E56" s="2"/>
      <c r="F56" s="2"/>
      <c r="G56" s="3"/>
    </row>
    <row r="57">
      <c r="A57" s="148" t="s">
        <v>348</v>
      </c>
    </row>
    <row r="58">
      <c r="A58" s="136" t="s">
        <v>223</v>
      </c>
      <c r="B58" s="137" t="s">
        <v>3</v>
      </c>
      <c r="C58" s="138" t="s">
        <v>4</v>
      </c>
      <c r="D58" s="139" t="s">
        <v>5</v>
      </c>
      <c r="E58" s="140" t="s">
        <v>6</v>
      </c>
      <c r="F58" s="141" t="s">
        <v>7</v>
      </c>
      <c r="G58" s="136" t="s">
        <v>250</v>
      </c>
    </row>
    <row r="59">
      <c r="A59" s="142" t="s">
        <v>349</v>
      </c>
      <c r="B59" s="143">
        <f t="shared" ref="B59:F59" si="6">B33</f>
        <v>581975</v>
      </c>
      <c r="C59" s="143">
        <f t="shared" si="6"/>
        <v>1002725</v>
      </c>
      <c r="D59" s="143">
        <f t="shared" si="6"/>
        <v>490812.5</v>
      </c>
      <c r="E59" s="143">
        <f t="shared" si="6"/>
        <v>581975</v>
      </c>
      <c r="F59" s="144">
        <f t="shared" si="6"/>
        <v>886893.2833</v>
      </c>
      <c r="G59" s="155"/>
    </row>
    <row r="60">
      <c r="A60" s="142" t="s">
        <v>350</v>
      </c>
      <c r="B60" s="143">
        <f t="shared" ref="B60:F60" si="7">B37</f>
        <v>1067925.833</v>
      </c>
      <c r="C60" s="143">
        <f t="shared" si="7"/>
        <v>2400000</v>
      </c>
      <c r="D60" s="143">
        <f t="shared" si="7"/>
        <v>1057718.75</v>
      </c>
      <c r="E60" s="143">
        <f t="shared" si="7"/>
        <v>1320000</v>
      </c>
      <c r="F60" s="144">
        <f t="shared" si="7"/>
        <v>1489396.879</v>
      </c>
      <c r="G60" s="155"/>
    </row>
    <row r="61">
      <c r="A61" s="142" t="s">
        <v>351</v>
      </c>
      <c r="B61" s="152">
        <f t="shared" ref="B61:F61" si="8">B60-B59</f>
        <v>485950.8333</v>
      </c>
      <c r="C61" s="152">
        <f t="shared" si="8"/>
        <v>1397275</v>
      </c>
      <c r="D61" s="152">
        <f t="shared" si="8"/>
        <v>566906.25</v>
      </c>
      <c r="E61" s="152">
        <f t="shared" si="8"/>
        <v>738025</v>
      </c>
      <c r="F61" s="157">
        <f t="shared" si="8"/>
        <v>602503.5954</v>
      </c>
      <c r="G61" s="101" t="s">
        <v>352</v>
      </c>
    </row>
    <row r="62">
      <c r="A62" s="145" t="s">
        <v>353</v>
      </c>
      <c r="B62" s="156">
        <f t="shared" ref="B62:F62" si="9">B61/B59</f>
        <v>0.8350029354</v>
      </c>
      <c r="C62" s="156">
        <f t="shared" si="9"/>
        <v>1.393477773</v>
      </c>
      <c r="D62" s="156">
        <f t="shared" si="9"/>
        <v>1.155036292</v>
      </c>
      <c r="E62" s="156">
        <f t="shared" si="9"/>
        <v>1.268138666</v>
      </c>
      <c r="F62" s="158">
        <f t="shared" si="9"/>
        <v>0.6793417052</v>
      </c>
      <c r="G62" s="101" t="s">
        <v>354</v>
      </c>
    </row>
    <row r="63">
      <c r="A63" s="5"/>
      <c r="B63" s="5"/>
      <c r="C63" s="5"/>
      <c r="D63" s="5"/>
      <c r="E63" s="5"/>
      <c r="F63" s="5"/>
      <c r="G63" s="5"/>
    </row>
    <row r="64">
      <c r="A64" s="135" t="s">
        <v>355</v>
      </c>
      <c r="B64" s="2"/>
      <c r="C64" s="2"/>
      <c r="D64" s="2"/>
      <c r="E64" s="2"/>
      <c r="F64" s="2"/>
      <c r="G64" s="3"/>
    </row>
    <row r="65">
      <c r="A65" s="136" t="s">
        <v>2</v>
      </c>
      <c r="B65" s="137" t="s">
        <v>3</v>
      </c>
      <c r="C65" s="138" t="s">
        <v>4</v>
      </c>
      <c r="D65" s="139" t="s">
        <v>5</v>
      </c>
      <c r="E65" s="140" t="s">
        <v>6</v>
      </c>
      <c r="F65" s="141" t="s">
        <v>7</v>
      </c>
      <c r="G65" s="136" t="s">
        <v>356</v>
      </c>
    </row>
    <row r="66">
      <c r="A66" s="142" t="s">
        <v>353</v>
      </c>
      <c r="B66" s="159">
        <f t="shared" ref="B66:F66" si="10">B62</f>
        <v>0.8350029354</v>
      </c>
      <c r="C66" s="159">
        <f t="shared" si="10"/>
        <v>1.393477773</v>
      </c>
      <c r="D66" s="159">
        <f t="shared" si="10"/>
        <v>1.155036292</v>
      </c>
      <c r="E66" s="159">
        <f t="shared" si="10"/>
        <v>1.268138666</v>
      </c>
      <c r="F66" s="160">
        <f t="shared" si="10"/>
        <v>0.6793417052</v>
      </c>
      <c r="G66" s="155"/>
    </row>
    <row r="67">
      <c r="A67" s="142" t="s">
        <v>357</v>
      </c>
      <c r="B67" s="159">
        <f>B45</f>
        <v>0.38</v>
      </c>
      <c r="C67" s="159">
        <f>B45</f>
        <v>0.38</v>
      </c>
      <c r="D67" s="159">
        <f>B45</f>
        <v>0.38</v>
      </c>
      <c r="E67" s="159">
        <f>B45</f>
        <v>0.38</v>
      </c>
      <c r="F67" s="160">
        <f>B45</f>
        <v>0.38</v>
      </c>
      <c r="G67" s="155"/>
    </row>
    <row r="68">
      <c r="A68" s="145" t="s">
        <v>358</v>
      </c>
      <c r="B68" s="161" t="str">
        <f>IF(B62&gt;B45,"VIABLE ✓","NO CONVIENE ✗")</f>
        <v>VIABLE ✓</v>
      </c>
      <c r="C68" s="161" t="str">
        <f>IF(C62&gt;B45,"VIABLE ✓","NO CONVIENE ✗")</f>
        <v>VIABLE ✓</v>
      </c>
      <c r="D68" s="161" t="str">
        <f>IF(D62&gt;B45,"VIABLE ✓","NO CONVIENE ✗")</f>
        <v>VIABLE ✓</v>
      </c>
      <c r="E68" s="161" t="str">
        <f>IF(E62&gt;B45,"VIABLE ✓","NO CONVIENE ✗")</f>
        <v>VIABLE ✓</v>
      </c>
      <c r="F68" s="162" t="str">
        <f>IF(F62&gt;B45,"VIABLE ✓","NO CONVIENE ✗")</f>
        <v>VIABLE ✓</v>
      </c>
      <c r="G68" s="101" t="s">
        <v>359</v>
      </c>
    </row>
    <row r="69">
      <c r="A69" s="5"/>
      <c r="B69" s="5"/>
      <c r="C69" s="5"/>
      <c r="D69" s="5"/>
      <c r="E69" s="5"/>
      <c r="F69" s="5"/>
      <c r="G69" s="5"/>
    </row>
    <row r="70">
      <c r="A70" s="135" t="s">
        <v>360</v>
      </c>
      <c r="B70" s="2"/>
      <c r="C70" s="2"/>
      <c r="D70" s="2"/>
      <c r="E70" s="2"/>
      <c r="F70" s="2"/>
      <c r="G70" s="3"/>
    </row>
    <row r="71">
      <c r="A71" s="148" t="s">
        <v>361</v>
      </c>
    </row>
    <row r="72">
      <c r="A72" s="136" t="s">
        <v>223</v>
      </c>
      <c r="B72" s="137" t="s">
        <v>3</v>
      </c>
      <c r="C72" s="138" t="s">
        <v>4</v>
      </c>
      <c r="D72" s="139" t="s">
        <v>5</v>
      </c>
      <c r="E72" s="140" t="s">
        <v>6</v>
      </c>
      <c r="F72" s="141" t="s">
        <v>7</v>
      </c>
      <c r="G72" s="136" t="s">
        <v>250</v>
      </c>
    </row>
    <row r="73">
      <c r="A73" s="142" t="s">
        <v>362</v>
      </c>
      <c r="B73" s="143">
        <f>SCRUM!B4</f>
        <v>93500</v>
      </c>
      <c r="C73" s="143">
        <f>KANBAN!B12</f>
        <v>120000</v>
      </c>
      <c r="D73" s="143">
        <f>SCRUMBAN!B39/13</f>
        <v>81362.98077</v>
      </c>
      <c r="E73" s="143">
        <f>XP!B27</f>
        <v>120000</v>
      </c>
      <c r="F73" s="144">
        <f>'Water Scrum Fall'!B69/15</f>
        <v>99293.12525</v>
      </c>
      <c r="G73" s="101" t="s">
        <v>363</v>
      </c>
    </row>
    <row r="74">
      <c r="A74" s="142" t="s">
        <v>364</v>
      </c>
      <c r="B74" s="143">
        <f t="shared" ref="B74:F74" si="11">B59</f>
        <v>581975</v>
      </c>
      <c r="C74" s="143">
        <f t="shared" si="11"/>
        <v>1002725</v>
      </c>
      <c r="D74" s="143">
        <f t="shared" si="11"/>
        <v>490812.5</v>
      </c>
      <c r="E74" s="143">
        <f t="shared" si="11"/>
        <v>581975</v>
      </c>
      <c r="F74" s="144">
        <f t="shared" si="11"/>
        <v>886893.2833</v>
      </c>
      <c r="G74" s="155"/>
    </row>
    <row r="75">
      <c r="A75" s="145" t="s">
        <v>365</v>
      </c>
      <c r="B75" s="163">
        <f t="shared" ref="B75:F75" si="12">B74/B73</f>
        <v>6.224331551</v>
      </c>
      <c r="C75" s="163">
        <f t="shared" si="12"/>
        <v>8.356041667</v>
      </c>
      <c r="D75" s="163">
        <f t="shared" si="12"/>
        <v>6.032381009</v>
      </c>
      <c r="E75" s="163">
        <f t="shared" si="12"/>
        <v>4.849791667</v>
      </c>
      <c r="F75" s="164">
        <f t="shared" si="12"/>
        <v>8.93207139</v>
      </c>
      <c r="G75" s="101" t="s">
        <v>366</v>
      </c>
    </row>
    <row r="76">
      <c r="A76" s="5"/>
      <c r="B76" s="5"/>
      <c r="C76" s="5"/>
      <c r="D76" s="5"/>
      <c r="E76" s="5"/>
      <c r="F76" s="5"/>
      <c r="G76" s="5"/>
    </row>
    <row r="77">
      <c r="A77" s="135" t="s">
        <v>367</v>
      </c>
      <c r="B77" s="2"/>
      <c r="C77" s="2"/>
      <c r="D77" s="2"/>
      <c r="E77" s="2"/>
      <c r="F77" s="2"/>
      <c r="G77" s="3"/>
    </row>
    <row r="78">
      <c r="A78" s="148" t="s">
        <v>368</v>
      </c>
    </row>
    <row r="79">
      <c r="A79" s="136" t="s">
        <v>369</v>
      </c>
      <c r="B79" s="136" t="s">
        <v>370</v>
      </c>
      <c r="C79" s="5"/>
      <c r="D79" s="5"/>
      <c r="E79" s="5"/>
      <c r="F79" s="5"/>
      <c r="G79" s="136" t="s">
        <v>226</v>
      </c>
    </row>
    <row r="80">
      <c r="A80" s="142" t="s">
        <v>371</v>
      </c>
      <c r="B80" s="151">
        <v>120000.0</v>
      </c>
      <c r="C80" s="5"/>
      <c r="D80" s="5"/>
      <c r="E80" s="5"/>
      <c r="F80" s="5"/>
      <c r="G80" s="101" t="s">
        <v>372</v>
      </c>
    </row>
    <row r="81">
      <c r="A81" s="142" t="s">
        <v>282</v>
      </c>
      <c r="B81" s="151">
        <v>150000.0</v>
      </c>
      <c r="C81" s="5"/>
      <c r="D81" s="5"/>
      <c r="E81" s="5"/>
      <c r="F81" s="5"/>
      <c r="G81" s="101" t="s">
        <v>373</v>
      </c>
    </row>
    <row r="82">
      <c r="A82" s="142" t="s">
        <v>374</v>
      </c>
      <c r="B82" s="151">
        <v>30000.0</v>
      </c>
      <c r="C82" s="5"/>
      <c r="D82" s="5"/>
      <c r="E82" s="5"/>
      <c r="F82" s="5"/>
      <c r="G82" s="101" t="s">
        <v>375</v>
      </c>
    </row>
    <row r="83">
      <c r="A83" s="142" t="s">
        <v>376</v>
      </c>
      <c r="B83" s="151">
        <v>100000.0</v>
      </c>
      <c r="C83" s="5"/>
      <c r="D83" s="5"/>
      <c r="E83" s="5"/>
      <c r="F83" s="5"/>
      <c r="G83" s="101" t="s">
        <v>377</v>
      </c>
    </row>
    <row r="84">
      <c r="A84" s="145" t="s">
        <v>378</v>
      </c>
      <c r="B84" s="146">
        <f>SUM(B80:B83)</f>
        <v>400000</v>
      </c>
      <c r="C84" s="5"/>
      <c r="D84" s="5"/>
      <c r="E84" s="5"/>
      <c r="F84" s="5"/>
      <c r="G84" s="155"/>
    </row>
    <row r="85">
      <c r="A85" s="5"/>
      <c r="B85" s="5"/>
      <c r="C85" s="5"/>
      <c r="D85" s="5"/>
      <c r="E85" s="5"/>
      <c r="F85" s="5"/>
      <c r="G85" s="5"/>
    </row>
    <row r="86">
      <c r="A86" s="136" t="s">
        <v>223</v>
      </c>
      <c r="B86" s="137" t="s">
        <v>3</v>
      </c>
      <c r="C86" s="138" t="s">
        <v>4</v>
      </c>
      <c r="D86" s="139" t="s">
        <v>5</v>
      </c>
      <c r="E86" s="140" t="s">
        <v>6</v>
      </c>
      <c r="F86" s="141" t="s">
        <v>7</v>
      </c>
      <c r="G86" s="136" t="s">
        <v>250</v>
      </c>
    </row>
    <row r="87">
      <c r="A87" s="142" t="s">
        <v>379</v>
      </c>
      <c r="B87" s="143">
        <f t="shared" ref="B87:F87" si="13">B61</f>
        <v>485950.8333</v>
      </c>
      <c r="C87" s="143">
        <f t="shared" si="13"/>
        <v>1397275</v>
      </c>
      <c r="D87" s="143">
        <f t="shared" si="13"/>
        <v>566906.25</v>
      </c>
      <c r="E87" s="143">
        <f t="shared" si="13"/>
        <v>738025</v>
      </c>
      <c r="F87" s="144">
        <f t="shared" si="13"/>
        <v>602503.5954</v>
      </c>
      <c r="G87" s="101" t="s">
        <v>352</v>
      </c>
    </row>
    <row r="88">
      <c r="A88" s="142" t="s">
        <v>380</v>
      </c>
      <c r="B88" s="143">
        <f>B84</f>
        <v>400000</v>
      </c>
      <c r="C88" s="143">
        <f>B84</f>
        <v>400000</v>
      </c>
      <c r="D88" s="143">
        <f>B84</f>
        <v>400000</v>
      </c>
      <c r="E88" s="143">
        <f>B84</f>
        <v>400000</v>
      </c>
      <c r="F88" s="144">
        <f>B84</f>
        <v>400000</v>
      </c>
      <c r="G88" s="155"/>
    </row>
    <row r="89">
      <c r="A89" s="145" t="s">
        <v>381</v>
      </c>
      <c r="B89" s="165">
        <f t="shared" ref="B89:F89" si="14">B87/B88</f>
        <v>1.214877083</v>
      </c>
      <c r="C89" s="165">
        <f t="shared" si="14"/>
        <v>3.4931875</v>
      </c>
      <c r="D89" s="165">
        <f t="shared" si="14"/>
        <v>1.417265625</v>
      </c>
      <c r="E89" s="165">
        <f t="shared" si="14"/>
        <v>1.8450625</v>
      </c>
      <c r="F89" s="166">
        <f t="shared" si="14"/>
        <v>1.506258989</v>
      </c>
      <c r="G89" s="101" t="s">
        <v>382</v>
      </c>
    </row>
    <row r="90">
      <c r="A90" s="5"/>
      <c r="B90" s="5"/>
      <c r="C90" s="5"/>
      <c r="D90" s="5"/>
      <c r="E90" s="5"/>
      <c r="F90" s="5"/>
      <c r="G90" s="5"/>
    </row>
    <row r="91">
      <c r="A91" s="135" t="s">
        <v>383</v>
      </c>
      <c r="B91" s="2"/>
      <c r="C91" s="2"/>
      <c r="D91" s="2"/>
      <c r="E91" s="2"/>
      <c r="F91" s="2"/>
      <c r="G91" s="3"/>
    </row>
    <row r="92">
      <c r="A92" s="136" t="s">
        <v>384</v>
      </c>
      <c r="B92" s="137" t="s">
        <v>3</v>
      </c>
      <c r="C92" s="138" t="s">
        <v>4</v>
      </c>
      <c r="D92" s="139" t="s">
        <v>5</v>
      </c>
      <c r="E92" s="140" t="s">
        <v>6</v>
      </c>
      <c r="F92" s="141" t="s">
        <v>7</v>
      </c>
      <c r="G92" s="136" t="s">
        <v>385</v>
      </c>
    </row>
    <row r="93">
      <c r="A93" s="142" t="s">
        <v>314</v>
      </c>
      <c r="B93" s="143">
        <f t="shared" ref="B93:F93" si="15">B8</f>
        <v>549250</v>
      </c>
      <c r="C93" s="143">
        <f t="shared" si="15"/>
        <v>970000</v>
      </c>
      <c r="D93" s="143">
        <f t="shared" si="15"/>
        <v>458087.5</v>
      </c>
      <c r="E93" s="143">
        <f t="shared" si="15"/>
        <v>549250</v>
      </c>
      <c r="F93" s="144">
        <f t="shared" si="15"/>
        <v>854168.2833</v>
      </c>
      <c r="G93" s="101" t="s">
        <v>386</v>
      </c>
    </row>
    <row r="94">
      <c r="A94" s="142" t="s">
        <v>387</v>
      </c>
      <c r="B94" s="143">
        <f>D27</f>
        <v>32725</v>
      </c>
      <c r="C94" s="143">
        <f>D27</f>
        <v>32725</v>
      </c>
      <c r="D94" s="143">
        <f>D27</f>
        <v>32725</v>
      </c>
      <c r="E94" s="143">
        <f>D27</f>
        <v>32725</v>
      </c>
      <c r="F94" s="144">
        <f>D27</f>
        <v>32725</v>
      </c>
      <c r="G94" s="101" t="s">
        <v>388</v>
      </c>
    </row>
    <row r="95">
      <c r="A95" s="142" t="s">
        <v>389</v>
      </c>
      <c r="B95" s="143">
        <f t="shared" ref="B95:F95" si="16">B33</f>
        <v>581975</v>
      </c>
      <c r="C95" s="143">
        <f t="shared" si="16"/>
        <v>1002725</v>
      </c>
      <c r="D95" s="143">
        <f t="shared" si="16"/>
        <v>490812.5</v>
      </c>
      <c r="E95" s="143">
        <f t="shared" si="16"/>
        <v>581975</v>
      </c>
      <c r="F95" s="144">
        <f t="shared" si="16"/>
        <v>886893.2833</v>
      </c>
      <c r="G95" s="101" t="s">
        <v>390</v>
      </c>
    </row>
    <row r="96">
      <c r="A96" s="142" t="s">
        <v>391</v>
      </c>
      <c r="B96" s="143">
        <f t="shared" ref="B96:F96" si="17">B37</f>
        <v>1067925.833</v>
      </c>
      <c r="C96" s="143">
        <f t="shared" si="17"/>
        <v>2400000</v>
      </c>
      <c r="D96" s="143">
        <f t="shared" si="17"/>
        <v>1057718.75</v>
      </c>
      <c r="E96" s="143">
        <f t="shared" si="17"/>
        <v>1320000</v>
      </c>
      <c r="F96" s="144">
        <f t="shared" si="17"/>
        <v>1489396.879</v>
      </c>
      <c r="G96" s="101" t="s">
        <v>392</v>
      </c>
    </row>
    <row r="97">
      <c r="A97" s="142" t="s">
        <v>351</v>
      </c>
      <c r="B97" s="143">
        <f t="shared" ref="B97:F97" si="18">B61</f>
        <v>485950.8333</v>
      </c>
      <c r="C97" s="143">
        <f t="shared" si="18"/>
        <v>1397275</v>
      </c>
      <c r="D97" s="143">
        <f t="shared" si="18"/>
        <v>566906.25</v>
      </c>
      <c r="E97" s="143">
        <f t="shared" si="18"/>
        <v>738025</v>
      </c>
      <c r="F97" s="144">
        <f t="shared" si="18"/>
        <v>602503.5954</v>
      </c>
      <c r="G97" s="101" t="s">
        <v>393</v>
      </c>
    </row>
    <row r="98">
      <c r="A98" s="142" t="s">
        <v>353</v>
      </c>
      <c r="B98" s="159">
        <f t="shared" ref="B98:F98" si="19">B62</f>
        <v>0.8350029354</v>
      </c>
      <c r="C98" s="159">
        <f t="shared" si="19"/>
        <v>1.393477773</v>
      </c>
      <c r="D98" s="159">
        <f t="shared" si="19"/>
        <v>1.155036292</v>
      </c>
      <c r="E98" s="159">
        <f t="shared" si="19"/>
        <v>1.268138666</v>
      </c>
      <c r="F98" s="160">
        <f t="shared" si="19"/>
        <v>0.6793417052</v>
      </c>
      <c r="G98" s="101" t="s">
        <v>394</v>
      </c>
    </row>
    <row r="99">
      <c r="A99" s="142" t="s">
        <v>357</v>
      </c>
      <c r="B99" s="159">
        <f>B45</f>
        <v>0.38</v>
      </c>
      <c r="C99" s="159">
        <f>B45</f>
        <v>0.38</v>
      </c>
      <c r="D99" s="159">
        <f>B45</f>
        <v>0.38</v>
      </c>
      <c r="E99" s="159">
        <f>B45</f>
        <v>0.38</v>
      </c>
      <c r="F99" s="160">
        <f>B45</f>
        <v>0.38</v>
      </c>
      <c r="G99" s="101" t="s">
        <v>395</v>
      </c>
    </row>
  </sheetData>
  <mergeCells count="19">
    <mergeCell ref="A1:G1"/>
    <mergeCell ref="A2:G2"/>
    <mergeCell ref="A4:G4"/>
    <mergeCell ref="A10:G10"/>
    <mergeCell ref="A19:G19"/>
    <mergeCell ref="A20:G20"/>
    <mergeCell ref="A29:G29"/>
    <mergeCell ref="A70:G70"/>
    <mergeCell ref="A71:G71"/>
    <mergeCell ref="A77:G77"/>
    <mergeCell ref="A78:G78"/>
    <mergeCell ref="A91:G91"/>
    <mergeCell ref="A35:G35"/>
    <mergeCell ref="A39:G39"/>
    <mergeCell ref="A40:G40"/>
    <mergeCell ref="A47:G47"/>
    <mergeCell ref="A56:G56"/>
    <mergeCell ref="A57:G57"/>
    <mergeCell ref="A64:G6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B950"/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32.0"/>
    <col customWidth="1" min="3" max="3" width="20.0"/>
    <col customWidth="1" min="4" max="4" width="16.0"/>
    <col customWidth="1" min="5" max="5" width="20.0"/>
    <col customWidth="1" min="6" max="6" width="12.0"/>
    <col customWidth="1" min="7" max="26" width="8.71"/>
  </cols>
  <sheetData>
    <row r="1" ht="30.0" customHeight="1">
      <c r="A1" s="42" t="s">
        <v>396</v>
      </c>
      <c r="B1" s="2"/>
      <c r="C1" s="2"/>
      <c r="D1" s="2"/>
      <c r="E1" s="2"/>
      <c r="F1" s="2"/>
      <c r="G1" s="3"/>
      <c r="H1" s="43"/>
      <c r="I1" s="43"/>
      <c r="J1" s="43"/>
    </row>
    <row r="2" ht="7.5" customHeight="1">
      <c r="A2" s="43"/>
      <c r="B2" s="43"/>
      <c r="C2" s="43"/>
      <c r="D2" s="43"/>
      <c r="E2" s="43"/>
      <c r="F2" s="43"/>
      <c r="G2" s="43"/>
      <c r="H2" s="43"/>
      <c r="I2" s="43"/>
      <c r="J2" s="43"/>
    </row>
    <row r="3" ht="21.75" customHeight="1">
      <c r="A3" s="167" t="s">
        <v>181</v>
      </c>
      <c r="B3" s="167" t="s">
        <v>397</v>
      </c>
      <c r="C3" s="167" t="s">
        <v>398</v>
      </c>
      <c r="D3" s="167" t="s">
        <v>399</v>
      </c>
      <c r="E3" s="167" t="s">
        <v>184</v>
      </c>
      <c r="F3" s="43"/>
      <c r="G3" s="43"/>
      <c r="H3" s="43"/>
      <c r="I3" s="43"/>
      <c r="J3" s="43"/>
    </row>
    <row r="4" ht="18.0" customHeight="1">
      <c r="A4" s="168" t="s">
        <v>400</v>
      </c>
      <c r="B4" s="169" t="s">
        <v>186</v>
      </c>
      <c r="C4" s="170">
        <v>22000.0</v>
      </c>
      <c r="D4" s="171">
        <v>0.5</v>
      </c>
      <c r="E4" s="172">
        <f t="shared" ref="E4:E10" si="1">C4*D4</f>
        <v>11000</v>
      </c>
      <c r="F4" s="43"/>
      <c r="G4" s="43"/>
      <c r="H4" s="43"/>
      <c r="I4" s="43"/>
      <c r="J4" s="43"/>
    </row>
    <row r="5" ht="18.0" customHeight="1">
      <c r="A5" s="173" t="s">
        <v>192</v>
      </c>
      <c r="B5" s="47" t="s">
        <v>401</v>
      </c>
      <c r="C5" s="174">
        <v>16500.0</v>
      </c>
      <c r="D5" s="175">
        <v>0.5</v>
      </c>
      <c r="E5" s="176">
        <f t="shared" si="1"/>
        <v>8250</v>
      </c>
      <c r="F5" s="43"/>
      <c r="G5" s="43"/>
      <c r="H5" s="43"/>
      <c r="I5" s="43"/>
      <c r="J5" s="43"/>
    </row>
    <row r="6" ht="18.0" customHeight="1">
      <c r="A6" s="168" t="s">
        <v>402</v>
      </c>
      <c r="B6" s="169" t="s">
        <v>403</v>
      </c>
      <c r="C6" s="174">
        <v>9000.0</v>
      </c>
      <c r="D6" s="171">
        <v>0.5</v>
      </c>
      <c r="E6" s="172">
        <f t="shared" si="1"/>
        <v>4500</v>
      </c>
      <c r="F6" s="43"/>
      <c r="G6" s="43"/>
      <c r="H6" s="43"/>
      <c r="I6" s="43"/>
      <c r="J6" s="43"/>
    </row>
    <row r="7" ht="18.0" customHeight="1">
      <c r="A7" s="177" t="s">
        <v>404</v>
      </c>
      <c r="B7" s="178" t="s">
        <v>405</v>
      </c>
      <c r="C7" s="174">
        <v>9000.0</v>
      </c>
      <c r="D7" s="175">
        <v>0.5</v>
      </c>
      <c r="E7" s="176">
        <f t="shared" si="1"/>
        <v>4500</v>
      </c>
      <c r="F7" s="43"/>
      <c r="G7" s="43"/>
      <c r="H7" s="43"/>
      <c r="I7" s="43"/>
      <c r="J7" s="43"/>
    </row>
    <row r="8" ht="18.0" customHeight="1">
      <c r="A8" s="168" t="s">
        <v>406</v>
      </c>
      <c r="B8" s="169" t="s">
        <v>212</v>
      </c>
      <c r="C8" s="170">
        <v>7500.0</v>
      </c>
      <c r="D8" s="171">
        <v>0.5</v>
      </c>
      <c r="E8" s="172">
        <f t="shared" si="1"/>
        <v>3750</v>
      </c>
      <c r="F8" s="43"/>
      <c r="G8" s="43"/>
      <c r="H8" s="43"/>
      <c r="I8" s="43"/>
      <c r="J8" s="43"/>
    </row>
    <row r="9" ht="18.0" customHeight="1">
      <c r="A9" s="173" t="s">
        <v>407</v>
      </c>
      <c r="B9" s="47" t="s">
        <v>190</v>
      </c>
      <c r="C9" s="174">
        <v>14000.0</v>
      </c>
      <c r="D9" s="175">
        <v>0.5</v>
      </c>
      <c r="E9" s="176">
        <f t="shared" si="1"/>
        <v>7000</v>
      </c>
      <c r="F9" s="43"/>
      <c r="G9" s="43"/>
      <c r="H9" s="43"/>
      <c r="I9" s="43"/>
      <c r="J9" s="43"/>
    </row>
    <row r="10" ht="18.0" customHeight="1">
      <c r="A10" s="168" t="s">
        <v>408</v>
      </c>
      <c r="B10" s="169" t="s">
        <v>188</v>
      </c>
      <c r="C10" s="170">
        <v>15500.0</v>
      </c>
      <c r="D10" s="171">
        <v>0.5</v>
      </c>
      <c r="E10" s="172">
        <f t="shared" si="1"/>
        <v>7750</v>
      </c>
      <c r="F10" s="43"/>
      <c r="G10" s="43"/>
      <c r="H10" s="43"/>
      <c r="I10" s="43"/>
      <c r="J10" s="43"/>
    </row>
    <row r="11" ht="7.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</row>
    <row r="12" ht="21.75" customHeight="1">
      <c r="A12" s="179" t="s">
        <v>409</v>
      </c>
      <c r="B12" s="2"/>
      <c r="C12" s="2"/>
      <c r="D12" s="3"/>
      <c r="E12" s="180">
        <f>SUM(C4:C10)</f>
        <v>93500</v>
      </c>
      <c r="F12" s="43"/>
      <c r="G12" s="43"/>
      <c r="H12" s="43"/>
      <c r="I12" s="43"/>
      <c r="J12" s="43"/>
    </row>
    <row r="13" ht="21.75" customHeight="1">
      <c r="A13" s="181" t="s">
        <v>410</v>
      </c>
      <c r="B13" s="2"/>
      <c r="C13" s="2"/>
      <c r="D13" s="3"/>
      <c r="E13" s="182">
        <f>SUM(E4:E10)</f>
        <v>46750</v>
      </c>
      <c r="F13" s="43"/>
      <c r="G13" s="43"/>
      <c r="H13" s="43"/>
      <c r="I13" s="43"/>
      <c r="J13" s="43"/>
    </row>
    <row r="14" ht="15.0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</row>
    <row r="15" ht="13.5" customHeight="1">
      <c r="A15" s="50"/>
      <c r="B15" s="2"/>
      <c r="C15" s="2"/>
      <c r="D15" s="2"/>
      <c r="E15" s="2"/>
      <c r="F15" s="3"/>
      <c r="G15" s="43"/>
      <c r="H15" s="43"/>
      <c r="I15" s="43"/>
      <c r="J15" s="43"/>
    </row>
    <row r="16" ht="15.0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</row>
    <row r="17" ht="15.0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</row>
    <row r="18" ht="15.0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</row>
    <row r="19" ht="15.0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</row>
    <row r="20" ht="15.0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</row>
    <row r="21" ht="15.0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</row>
    <row r="22" ht="15.0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</row>
    <row r="23" ht="15.0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</row>
    <row r="24" ht="15.0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</row>
    <row r="25" ht="15.0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</row>
    <row r="26" ht="15.0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</row>
    <row r="27" ht="15.0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</row>
    <row r="28" ht="15.0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</row>
    <row r="29" ht="15.0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</row>
    <row r="30" ht="15.0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12:D12"/>
    <mergeCell ref="A13:D13"/>
    <mergeCell ref="A15:F15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66.57"/>
    <col customWidth="1" min="4" max="4" width="34.57"/>
  </cols>
  <sheetData>
    <row r="1">
      <c r="A1" s="183" t="s">
        <v>411</v>
      </c>
      <c r="B1" s="183" t="s">
        <v>412</v>
      </c>
      <c r="C1" s="183" t="s">
        <v>413</v>
      </c>
      <c r="D1" s="183" t="s">
        <v>414</v>
      </c>
      <c r="E1" s="183" t="s">
        <v>415</v>
      </c>
      <c r="F1" s="184" t="s">
        <v>77</v>
      </c>
      <c r="G1" s="184" t="s">
        <v>416</v>
      </c>
      <c r="H1" s="183" t="s">
        <v>417</v>
      </c>
    </row>
    <row r="2">
      <c r="A2" s="183" t="s">
        <v>418</v>
      </c>
      <c r="C2" s="185"/>
      <c r="F2" s="186"/>
      <c r="G2" s="186"/>
    </row>
    <row r="3">
      <c r="A3" s="183" t="s">
        <v>419</v>
      </c>
      <c r="B3" s="183" t="s">
        <v>420</v>
      </c>
      <c r="C3" s="183" t="s">
        <v>421</v>
      </c>
      <c r="D3" s="183" t="s">
        <v>422</v>
      </c>
      <c r="E3" s="183" t="s">
        <v>423</v>
      </c>
      <c r="F3" s="184">
        <v>5.0</v>
      </c>
      <c r="G3" s="184" t="s">
        <v>424</v>
      </c>
      <c r="H3" s="183" t="s">
        <v>425</v>
      </c>
    </row>
    <row r="4">
      <c r="A4" s="183" t="s">
        <v>426</v>
      </c>
      <c r="B4" s="183" t="s">
        <v>427</v>
      </c>
      <c r="C4" s="183" t="s">
        <v>421</v>
      </c>
      <c r="D4" s="183" t="s">
        <v>422</v>
      </c>
      <c r="E4" s="183" t="s">
        <v>423</v>
      </c>
      <c r="F4" s="184">
        <v>3.0</v>
      </c>
      <c r="G4" s="184" t="s">
        <v>428</v>
      </c>
      <c r="H4" s="183" t="s">
        <v>425</v>
      </c>
    </row>
    <row r="5">
      <c r="A5" s="183" t="s">
        <v>429</v>
      </c>
      <c r="B5" s="183" t="s">
        <v>430</v>
      </c>
      <c r="C5" s="183" t="s">
        <v>421</v>
      </c>
      <c r="D5" s="183" t="s">
        <v>422</v>
      </c>
      <c r="E5" s="183" t="s">
        <v>423</v>
      </c>
      <c r="F5" s="184">
        <v>3.0</v>
      </c>
      <c r="G5" s="184" t="s">
        <v>428</v>
      </c>
      <c r="H5" s="183" t="s">
        <v>425</v>
      </c>
    </row>
    <row r="6">
      <c r="A6" s="183" t="s">
        <v>431</v>
      </c>
      <c r="B6" s="183" t="s">
        <v>432</v>
      </c>
      <c r="C6" s="183" t="s">
        <v>421</v>
      </c>
      <c r="D6" s="183" t="s">
        <v>422</v>
      </c>
      <c r="E6" s="183" t="s">
        <v>423</v>
      </c>
      <c r="F6" s="184">
        <v>5.0</v>
      </c>
      <c r="G6" s="184" t="s">
        <v>428</v>
      </c>
      <c r="H6" s="183" t="s">
        <v>425</v>
      </c>
    </row>
    <row r="7">
      <c r="A7" s="183" t="s">
        <v>433</v>
      </c>
      <c r="B7" s="183" t="s">
        <v>434</v>
      </c>
      <c r="C7" s="183" t="s">
        <v>421</v>
      </c>
      <c r="D7" s="183" t="s">
        <v>422</v>
      </c>
      <c r="E7" s="183" t="s">
        <v>423</v>
      </c>
      <c r="F7" s="184">
        <v>3.0</v>
      </c>
      <c r="G7" s="184" t="s">
        <v>428</v>
      </c>
      <c r="H7" s="183" t="s">
        <v>425</v>
      </c>
    </row>
    <row r="8">
      <c r="A8" s="183" t="s">
        <v>435</v>
      </c>
      <c r="B8" s="183" t="s">
        <v>436</v>
      </c>
      <c r="C8" s="183" t="s">
        <v>421</v>
      </c>
      <c r="D8" s="183" t="s">
        <v>422</v>
      </c>
      <c r="E8" s="183" t="s">
        <v>423</v>
      </c>
      <c r="F8" s="184">
        <v>5.0</v>
      </c>
      <c r="G8" s="184" t="s">
        <v>424</v>
      </c>
      <c r="H8" s="183" t="s">
        <v>425</v>
      </c>
    </row>
    <row r="9">
      <c r="A9" s="183" t="s">
        <v>437</v>
      </c>
      <c r="B9" s="183" t="s">
        <v>438</v>
      </c>
      <c r="C9" s="183" t="s">
        <v>421</v>
      </c>
      <c r="D9" s="183" t="s">
        <v>422</v>
      </c>
      <c r="E9" s="183" t="s">
        <v>423</v>
      </c>
      <c r="F9" s="184">
        <v>8.0</v>
      </c>
      <c r="G9" s="184" t="s">
        <v>424</v>
      </c>
      <c r="H9" s="183" t="s">
        <v>425</v>
      </c>
    </row>
    <row r="10">
      <c r="A10" s="183" t="s">
        <v>439</v>
      </c>
      <c r="B10" s="183" t="s">
        <v>440</v>
      </c>
      <c r="C10" s="183" t="s">
        <v>421</v>
      </c>
      <c r="D10" s="183" t="s">
        <v>422</v>
      </c>
      <c r="E10" s="183" t="s">
        <v>423</v>
      </c>
      <c r="F10" s="184">
        <v>5.0</v>
      </c>
      <c r="G10" s="184" t="s">
        <v>428</v>
      </c>
      <c r="H10" s="183" t="s">
        <v>425</v>
      </c>
    </row>
    <row r="11">
      <c r="A11" s="183" t="s">
        <v>441</v>
      </c>
      <c r="B11" s="183" t="s">
        <v>442</v>
      </c>
      <c r="C11" s="183" t="s">
        <v>421</v>
      </c>
      <c r="D11" s="183" t="s">
        <v>422</v>
      </c>
      <c r="E11" s="183" t="s">
        <v>423</v>
      </c>
      <c r="F11" s="184">
        <v>8.0</v>
      </c>
      <c r="G11" s="184" t="s">
        <v>443</v>
      </c>
      <c r="H11" s="183" t="s">
        <v>425</v>
      </c>
    </row>
    <row r="12">
      <c r="A12" s="183" t="s">
        <v>444</v>
      </c>
      <c r="C12" s="185"/>
      <c r="F12" s="184">
        <f>SUM(F3:F11)</f>
        <v>45</v>
      </c>
      <c r="G12" s="186"/>
    </row>
    <row r="13">
      <c r="C13" s="185"/>
      <c r="F13" s="186"/>
      <c r="G13" s="186"/>
    </row>
    <row r="14">
      <c r="A14" s="183" t="s">
        <v>445</v>
      </c>
      <c r="C14" s="185"/>
      <c r="F14" s="186"/>
      <c r="G14" s="186"/>
    </row>
    <row r="15">
      <c r="A15" s="183" t="s">
        <v>446</v>
      </c>
      <c r="B15" s="183" t="s">
        <v>447</v>
      </c>
      <c r="C15" s="183" t="s">
        <v>448</v>
      </c>
      <c r="D15" s="183" t="s">
        <v>449</v>
      </c>
      <c r="E15" s="183" t="s">
        <v>423</v>
      </c>
      <c r="F15" s="184">
        <v>5.0</v>
      </c>
      <c r="G15" s="184" t="s">
        <v>424</v>
      </c>
      <c r="H15" s="183" t="s">
        <v>425</v>
      </c>
    </row>
    <row r="16">
      <c r="A16" s="183" t="s">
        <v>450</v>
      </c>
      <c r="B16" s="183" t="s">
        <v>451</v>
      </c>
      <c r="C16" s="183" t="s">
        <v>448</v>
      </c>
      <c r="D16" s="183" t="s">
        <v>449</v>
      </c>
      <c r="E16" s="183" t="s">
        <v>423</v>
      </c>
      <c r="F16" s="184">
        <v>3.0</v>
      </c>
      <c r="G16" s="184" t="s">
        <v>428</v>
      </c>
      <c r="H16" s="183" t="s">
        <v>425</v>
      </c>
    </row>
    <row r="17">
      <c r="A17" s="183" t="s">
        <v>452</v>
      </c>
      <c r="B17" s="183" t="s">
        <v>453</v>
      </c>
      <c r="C17" s="183" t="s">
        <v>448</v>
      </c>
      <c r="D17" s="183" t="s">
        <v>449</v>
      </c>
      <c r="E17" s="183" t="s">
        <v>423</v>
      </c>
      <c r="F17" s="184">
        <v>3.0</v>
      </c>
      <c r="G17" s="184" t="s">
        <v>428</v>
      </c>
      <c r="H17" s="183" t="s">
        <v>425</v>
      </c>
    </row>
    <row r="18">
      <c r="A18" s="183" t="s">
        <v>454</v>
      </c>
      <c r="B18" s="183" t="s">
        <v>455</v>
      </c>
      <c r="C18" s="183" t="s">
        <v>448</v>
      </c>
      <c r="D18" s="183" t="s">
        <v>449</v>
      </c>
      <c r="E18" s="183" t="s">
        <v>423</v>
      </c>
      <c r="F18" s="184">
        <v>5.0</v>
      </c>
      <c r="G18" s="184" t="s">
        <v>428</v>
      </c>
      <c r="H18" s="183" t="s">
        <v>425</v>
      </c>
    </row>
    <row r="19">
      <c r="A19" s="183" t="s">
        <v>456</v>
      </c>
      <c r="B19" s="183" t="s">
        <v>457</v>
      </c>
      <c r="C19" s="183" t="s">
        <v>448</v>
      </c>
      <c r="D19" s="183" t="s">
        <v>449</v>
      </c>
      <c r="E19" s="183" t="s">
        <v>423</v>
      </c>
      <c r="F19" s="184">
        <v>5.0</v>
      </c>
      <c r="G19" s="184" t="s">
        <v>424</v>
      </c>
      <c r="H19" s="183" t="s">
        <v>425</v>
      </c>
    </row>
    <row r="20">
      <c r="A20" s="183" t="s">
        <v>458</v>
      </c>
      <c r="B20" s="183" t="s">
        <v>459</v>
      </c>
      <c r="C20" s="183" t="s">
        <v>448</v>
      </c>
      <c r="D20" s="183" t="s">
        <v>449</v>
      </c>
      <c r="E20" s="183" t="s">
        <v>423</v>
      </c>
      <c r="F20" s="184">
        <v>3.0</v>
      </c>
      <c r="G20" s="184" t="s">
        <v>428</v>
      </c>
      <c r="H20" s="183" t="s">
        <v>425</v>
      </c>
    </row>
    <row r="21">
      <c r="A21" s="183" t="s">
        <v>460</v>
      </c>
      <c r="B21" s="183" t="s">
        <v>461</v>
      </c>
      <c r="C21" s="183" t="s">
        <v>448</v>
      </c>
      <c r="D21" s="183" t="s">
        <v>449</v>
      </c>
      <c r="E21" s="183" t="s">
        <v>423</v>
      </c>
      <c r="F21" s="184">
        <v>8.0</v>
      </c>
      <c r="G21" s="184" t="s">
        <v>424</v>
      </c>
      <c r="H21" s="183" t="s">
        <v>425</v>
      </c>
    </row>
    <row r="22">
      <c r="A22" s="183" t="s">
        <v>462</v>
      </c>
      <c r="B22" s="183" t="s">
        <v>463</v>
      </c>
      <c r="C22" s="183" t="s">
        <v>448</v>
      </c>
      <c r="D22" s="183" t="s">
        <v>449</v>
      </c>
      <c r="E22" s="183" t="s">
        <v>423</v>
      </c>
      <c r="F22" s="184">
        <v>5.0</v>
      </c>
      <c r="G22" s="184" t="s">
        <v>424</v>
      </c>
      <c r="H22" s="183" t="s">
        <v>425</v>
      </c>
    </row>
    <row r="23">
      <c r="A23" s="183" t="s">
        <v>464</v>
      </c>
      <c r="B23" s="183" t="s">
        <v>465</v>
      </c>
      <c r="C23" s="183" t="s">
        <v>448</v>
      </c>
      <c r="D23" s="183" t="s">
        <v>449</v>
      </c>
      <c r="E23" s="183" t="s">
        <v>423</v>
      </c>
      <c r="F23" s="184">
        <v>8.0</v>
      </c>
      <c r="G23" s="184" t="s">
        <v>428</v>
      </c>
      <c r="H23" s="183" t="s">
        <v>425</v>
      </c>
    </row>
    <row r="24">
      <c r="A24" s="183" t="s">
        <v>466</v>
      </c>
      <c r="B24" s="183" t="s">
        <v>467</v>
      </c>
      <c r="C24" s="183" t="s">
        <v>448</v>
      </c>
      <c r="D24" s="183" t="s">
        <v>449</v>
      </c>
      <c r="E24" s="183" t="s">
        <v>423</v>
      </c>
      <c r="F24" s="184">
        <v>5.0</v>
      </c>
      <c r="G24" s="184" t="s">
        <v>443</v>
      </c>
      <c r="H24" s="183" t="s">
        <v>425</v>
      </c>
    </row>
    <row r="25">
      <c r="A25" s="183" t="s">
        <v>468</v>
      </c>
      <c r="B25" s="183" t="s">
        <v>469</v>
      </c>
      <c r="C25" s="183" t="s">
        <v>448</v>
      </c>
      <c r="D25" s="183" t="s">
        <v>449</v>
      </c>
      <c r="E25" s="183" t="s">
        <v>423</v>
      </c>
      <c r="F25" s="184">
        <v>5.0</v>
      </c>
      <c r="G25" s="184" t="s">
        <v>424</v>
      </c>
      <c r="H25" s="183" t="s">
        <v>425</v>
      </c>
    </row>
    <row r="26">
      <c r="A26" s="183" t="s">
        <v>470</v>
      </c>
      <c r="B26" s="183" t="s">
        <v>471</v>
      </c>
      <c r="C26" s="183" t="s">
        <v>448</v>
      </c>
      <c r="D26" s="183" t="s">
        <v>449</v>
      </c>
      <c r="E26" s="183" t="s">
        <v>423</v>
      </c>
      <c r="F26" s="184">
        <v>5.0</v>
      </c>
      <c r="G26" s="184" t="s">
        <v>428</v>
      </c>
      <c r="H26" s="183" t="s">
        <v>425</v>
      </c>
    </row>
    <row r="27">
      <c r="A27" s="183" t="s">
        <v>472</v>
      </c>
      <c r="C27" s="185"/>
      <c r="F27" s="184">
        <f>SUM(F15:F26)</f>
        <v>60</v>
      </c>
      <c r="G27" s="186"/>
    </row>
    <row r="28">
      <c r="C28" s="185"/>
      <c r="F28" s="186"/>
      <c r="G28" s="186"/>
    </row>
    <row r="29">
      <c r="A29" s="183" t="s">
        <v>473</v>
      </c>
      <c r="C29" s="185"/>
      <c r="F29" s="186"/>
      <c r="G29" s="186"/>
    </row>
    <row r="30">
      <c r="A30" s="183" t="s">
        <v>474</v>
      </c>
      <c r="B30" s="183" t="s">
        <v>475</v>
      </c>
      <c r="C30" s="183" t="s">
        <v>476</v>
      </c>
      <c r="D30" s="183" t="s">
        <v>477</v>
      </c>
      <c r="E30" s="183" t="s">
        <v>423</v>
      </c>
      <c r="F30" s="184">
        <v>5.0</v>
      </c>
      <c r="G30" s="184" t="s">
        <v>424</v>
      </c>
      <c r="H30" s="183" t="s">
        <v>425</v>
      </c>
    </row>
    <row r="31">
      <c r="A31" s="183" t="s">
        <v>478</v>
      </c>
      <c r="B31" s="183" t="s">
        <v>479</v>
      </c>
      <c r="C31" s="183" t="s">
        <v>476</v>
      </c>
      <c r="D31" s="183" t="s">
        <v>477</v>
      </c>
      <c r="E31" s="183" t="s">
        <v>423</v>
      </c>
      <c r="F31" s="184">
        <v>3.0</v>
      </c>
      <c r="G31" s="184" t="s">
        <v>428</v>
      </c>
      <c r="H31" s="183" t="s">
        <v>425</v>
      </c>
    </row>
    <row r="32">
      <c r="A32" s="183" t="s">
        <v>480</v>
      </c>
      <c r="B32" s="183" t="s">
        <v>481</v>
      </c>
      <c r="C32" s="183" t="s">
        <v>476</v>
      </c>
      <c r="D32" s="183" t="s">
        <v>477</v>
      </c>
      <c r="E32" s="183" t="s">
        <v>423</v>
      </c>
      <c r="F32" s="184">
        <v>5.0</v>
      </c>
      <c r="G32" s="184" t="s">
        <v>428</v>
      </c>
      <c r="H32" s="183" t="s">
        <v>425</v>
      </c>
    </row>
    <row r="33">
      <c r="A33" s="183" t="s">
        <v>482</v>
      </c>
      <c r="B33" s="183" t="s">
        <v>483</v>
      </c>
      <c r="C33" s="183" t="s">
        <v>476</v>
      </c>
      <c r="D33" s="183" t="s">
        <v>477</v>
      </c>
      <c r="E33" s="183" t="s">
        <v>423</v>
      </c>
      <c r="F33" s="184">
        <v>5.0</v>
      </c>
      <c r="G33" s="184" t="s">
        <v>424</v>
      </c>
      <c r="H33" s="183" t="s">
        <v>425</v>
      </c>
    </row>
    <row r="34">
      <c r="A34" s="183" t="s">
        <v>484</v>
      </c>
      <c r="B34" s="183" t="s">
        <v>485</v>
      </c>
      <c r="C34" s="183" t="s">
        <v>476</v>
      </c>
      <c r="D34" s="183" t="s">
        <v>477</v>
      </c>
      <c r="E34" s="183" t="s">
        <v>423</v>
      </c>
      <c r="F34" s="184">
        <v>8.0</v>
      </c>
      <c r="G34" s="184" t="s">
        <v>424</v>
      </c>
      <c r="H34" s="183" t="s">
        <v>425</v>
      </c>
    </row>
    <row r="35">
      <c r="A35" s="183" t="s">
        <v>486</v>
      </c>
      <c r="B35" s="183" t="s">
        <v>487</v>
      </c>
      <c r="C35" s="183" t="s">
        <v>476</v>
      </c>
      <c r="D35" s="183" t="s">
        <v>477</v>
      </c>
      <c r="E35" s="183" t="s">
        <v>423</v>
      </c>
      <c r="F35" s="184">
        <v>8.0</v>
      </c>
      <c r="G35" s="184" t="s">
        <v>424</v>
      </c>
      <c r="H35" s="183" t="s">
        <v>425</v>
      </c>
    </row>
    <row r="36">
      <c r="A36" s="183" t="s">
        <v>488</v>
      </c>
      <c r="B36" s="183" t="s">
        <v>489</v>
      </c>
      <c r="C36" s="183" t="s">
        <v>476</v>
      </c>
      <c r="D36" s="183" t="s">
        <v>477</v>
      </c>
      <c r="E36" s="183" t="s">
        <v>423</v>
      </c>
      <c r="F36" s="184">
        <v>8.0</v>
      </c>
      <c r="G36" s="184" t="s">
        <v>428</v>
      </c>
      <c r="H36" s="183" t="s">
        <v>425</v>
      </c>
    </row>
    <row r="37">
      <c r="A37" s="183" t="s">
        <v>490</v>
      </c>
      <c r="B37" s="183" t="s">
        <v>491</v>
      </c>
      <c r="C37" s="183" t="s">
        <v>476</v>
      </c>
      <c r="D37" s="183" t="s">
        <v>477</v>
      </c>
      <c r="E37" s="183" t="s">
        <v>423</v>
      </c>
      <c r="F37" s="184">
        <v>3.0</v>
      </c>
      <c r="G37" s="184" t="s">
        <v>428</v>
      </c>
      <c r="H37" s="183" t="s">
        <v>425</v>
      </c>
    </row>
    <row r="38">
      <c r="A38" s="183" t="s">
        <v>492</v>
      </c>
      <c r="B38" s="183" t="s">
        <v>493</v>
      </c>
      <c r="C38" s="183" t="s">
        <v>476</v>
      </c>
      <c r="D38" s="183" t="s">
        <v>477</v>
      </c>
      <c r="E38" s="183" t="s">
        <v>423</v>
      </c>
      <c r="F38" s="184">
        <v>5.0</v>
      </c>
      <c r="G38" s="184" t="s">
        <v>428</v>
      </c>
      <c r="H38" s="183" t="s">
        <v>425</v>
      </c>
    </row>
    <row r="39">
      <c r="A39" s="183" t="s">
        <v>494</v>
      </c>
      <c r="B39" s="183" t="s">
        <v>495</v>
      </c>
      <c r="C39" s="183" t="s">
        <v>476</v>
      </c>
      <c r="D39" s="183" t="s">
        <v>477</v>
      </c>
      <c r="E39" s="183" t="s">
        <v>423</v>
      </c>
      <c r="F39" s="184">
        <v>5.0</v>
      </c>
      <c r="G39" s="184" t="s">
        <v>428</v>
      </c>
      <c r="H39" s="183" t="s">
        <v>425</v>
      </c>
    </row>
    <row r="40">
      <c r="A40" s="183" t="s">
        <v>496</v>
      </c>
      <c r="B40" s="183" t="s">
        <v>497</v>
      </c>
      <c r="C40" s="183" t="s">
        <v>476</v>
      </c>
      <c r="D40" s="183" t="s">
        <v>477</v>
      </c>
      <c r="E40" s="183" t="s">
        <v>423</v>
      </c>
      <c r="F40" s="184">
        <v>5.0</v>
      </c>
      <c r="G40" s="184" t="s">
        <v>424</v>
      </c>
      <c r="H40" s="183" t="s">
        <v>425</v>
      </c>
    </row>
    <row r="41">
      <c r="A41" s="183" t="s">
        <v>498</v>
      </c>
      <c r="C41" s="185"/>
      <c r="F41" s="184">
        <f>SUM(F30:F40)</f>
        <v>60</v>
      </c>
      <c r="G41" s="186"/>
    </row>
    <row r="42">
      <c r="C42" s="185"/>
      <c r="F42" s="186"/>
      <c r="G42" s="186"/>
    </row>
    <row r="43">
      <c r="A43" s="183" t="s">
        <v>499</v>
      </c>
      <c r="C43" s="185"/>
      <c r="F43" s="186"/>
      <c r="G43" s="186"/>
    </row>
    <row r="44">
      <c r="A44" s="183" t="s">
        <v>500</v>
      </c>
      <c r="B44" s="183" t="s">
        <v>501</v>
      </c>
      <c r="C44" s="183" t="s">
        <v>502</v>
      </c>
      <c r="D44" s="183" t="s">
        <v>503</v>
      </c>
      <c r="E44" s="183" t="s">
        <v>423</v>
      </c>
      <c r="F44" s="184">
        <v>5.0</v>
      </c>
      <c r="G44" s="184" t="s">
        <v>424</v>
      </c>
      <c r="H44" s="183" t="s">
        <v>425</v>
      </c>
    </row>
    <row r="45">
      <c r="A45" s="183" t="s">
        <v>504</v>
      </c>
      <c r="B45" s="183" t="s">
        <v>505</v>
      </c>
      <c r="C45" s="183" t="s">
        <v>502</v>
      </c>
      <c r="D45" s="183" t="s">
        <v>503</v>
      </c>
      <c r="E45" s="183" t="s">
        <v>423</v>
      </c>
      <c r="F45" s="184">
        <v>3.0</v>
      </c>
      <c r="G45" s="184" t="s">
        <v>428</v>
      </c>
      <c r="H45" s="183" t="s">
        <v>425</v>
      </c>
    </row>
    <row r="46">
      <c r="A46" s="183" t="s">
        <v>506</v>
      </c>
      <c r="B46" s="183" t="s">
        <v>507</v>
      </c>
      <c r="C46" s="183" t="s">
        <v>502</v>
      </c>
      <c r="D46" s="183" t="s">
        <v>503</v>
      </c>
      <c r="E46" s="183" t="s">
        <v>423</v>
      </c>
      <c r="F46" s="184">
        <v>5.0</v>
      </c>
      <c r="G46" s="184" t="s">
        <v>428</v>
      </c>
      <c r="H46" s="183" t="s">
        <v>425</v>
      </c>
    </row>
    <row r="47">
      <c r="A47" s="183" t="s">
        <v>508</v>
      </c>
      <c r="B47" s="183" t="s">
        <v>509</v>
      </c>
      <c r="C47" s="183" t="s">
        <v>502</v>
      </c>
      <c r="D47" s="183" t="s">
        <v>503</v>
      </c>
      <c r="E47" s="183" t="s">
        <v>423</v>
      </c>
      <c r="F47" s="184">
        <v>5.0</v>
      </c>
      <c r="G47" s="184" t="s">
        <v>424</v>
      </c>
      <c r="H47" s="183" t="s">
        <v>425</v>
      </c>
    </row>
    <row r="48">
      <c r="A48" s="183" t="s">
        <v>510</v>
      </c>
      <c r="B48" s="183" t="s">
        <v>511</v>
      </c>
      <c r="C48" s="183" t="s">
        <v>502</v>
      </c>
      <c r="D48" s="183" t="s">
        <v>503</v>
      </c>
      <c r="E48" s="183" t="s">
        <v>423</v>
      </c>
      <c r="F48" s="184">
        <v>5.0</v>
      </c>
      <c r="G48" s="184" t="s">
        <v>424</v>
      </c>
      <c r="H48" s="183" t="s">
        <v>425</v>
      </c>
    </row>
    <row r="49">
      <c r="A49" s="183" t="s">
        <v>512</v>
      </c>
      <c r="B49" s="183" t="s">
        <v>513</v>
      </c>
      <c r="C49" s="183" t="s">
        <v>502</v>
      </c>
      <c r="D49" s="183" t="s">
        <v>503</v>
      </c>
      <c r="E49" s="183" t="s">
        <v>423</v>
      </c>
      <c r="F49" s="184">
        <v>5.0</v>
      </c>
      <c r="G49" s="184" t="s">
        <v>424</v>
      </c>
      <c r="H49" s="183" t="s">
        <v>425</v>
      </c>
    </row>
    <row r="50">
      <c r="A50" s="183" t="s">
        <v>514</v>
      </c>
      <c r="B50" s="183" t="s">
        <v>515</v>
      </c>
      <c r="C50" s="183" t="s">
        <v>502</v>
      </c>
      <c r="D50" s="183" t="s">
        <v>503</v>
      </c>
      <c r="E50" s="183" t="s">
        <v>423</v>
      </c>
      <c r="F50" s="184">
        <v>8.0</v>
      </c>
      <c r="G50" s="184" t="s">
        <v>424</v>
      </c>
      <c r="H50" s="183" t="s">
        <v>425</v>
      </c>
    </row>
    <row r="51">
      <c r="A51" s="183" t="s">
        <v>516</v>
      </c>
      <c r="B51" s="183" t="s">
        <v>517</v>
      </c>
      <c r="C51" s="183" t="s">
        <v>502</v>
      </c>
      <c r="D51" s="183" t="s">
        <v>503</v>
      </c>
      <c r="E51" s="183" t="s">
        <v>423</v>
      </c>
      <c r="F51" s="184">
        <v>8.0</v>
      </c>
      <c r="G51" s="184" t="s">
        <v>424</v>
      </c>
      <c r="H51" s="183" t="s">
        <v>425</v>
      </c>
    </row>
    <row r="52">
      <c r="A52" s="183" t="s">
        <v>518</v>
      </c>
      <c r="B52" s="183" t="s">
        <v>519</v>
      </c>
      <c r="C52" s="183" t="s">
        <v>502</v>
      </c>
      <c r="D52" s="183" t="s">
        <v>503</v>
      </c>
      <c r="E52" s="183" t="s">
        <v>423</v>
      </c>
      <c r="F52" s="184">
        <v>5.0</v>
      </c>
      <c r="G52" s="184" t="s">
        <v>428</v>
      </c>
      <c r="H52" s="183" t="s">
        <v>425</v>
      </c>
    </row>
    <row r="53">
      <c r="A53" s="183" t="s">
        <v>520</v>
      </c>
      <c r="B53" s="183" t="s">
        <v>521</v>
      </c>
      <c r="C53" s="183" t="s">
        <v>502</v>
      </c>
      <c r="D53" s="183" t="s">
        <v>503</v>
      </c>
      <c r="E53" s="183" t="s">
        <v>423</v>
      </c>
      <c r="F53" s="184">
        <v>8.0</v>
      </c>
      <c r="G53" s="184" t="s">
        <v>428</v>
      </c>
      <c r="H53" s="183" t="s">
        <v>425</v>
      </c>
    </row>
    <row r="54">
      <c r="A54" s="183" t="s">
        <v>522</v>
      </c>
      <c r="B54" s="183" t="s">
        <v>523</v>
      </c>
      <c r="C54" s="183" t="s">
        <v>502</v>
      </c>
      <c r="D54" s="183" t="s">
        <v>503</v>
      </c>
      <c r="E54" s="183" t="s">
        <v>423</v>
      </c>
      <c r="F54" s="184">
        <v>5.0</v>
      </c>
      <c r="G54" s="184" t="s">
        <v>443</v>
      </c>
      <c r="H54" s="183" t="s">
        <v>425</v>
      </c>
    </row>
    <row r="55">
      <c r="A55" s="183" t="s">
        <v>524</v>
      </c>
      <c r="B55" s="183" t="s">
        <v>525</v>
      </c>
      <c r="C55" s="183" t="s">
        <v>502</v>
      </c>
      <c r="D55" s="183" t="s">
        <v>503</v>
      </c>
      <c r="E55" s="183" t="s">
        <v>423</v>
      </c>
      <c r="F55" s="184">
        <v>5.0</v>
      </c>
      <c r="G55" s="184" t="s">
        <v>443</v>
      </c>
      <c r="H55" s="183" t="s">
        <v>425</v>
      </c>
    </row>
    <row r="56">
      <c r="A56" s="183" t="s">
        <v>526</v>
      </c>
      <c r="B56" s="183" t="s">
        <v>527</v>
      </c>
      <c r="C56" s="183" t="s">
        <v>502</v>
      </c>
      <c r="D56" s="183" t="s">
        <v>503</v>
      </c>
      <c r="E56" s="183" t="s">
        <v>423</v>
      </c>
      <c r="F56" s="184">
        <v>5.0</v>
      </c>
      <c r="G56" s="184" t="s">
        <v>443</v>
      </c>
      <c r="H56" s="183" t="s">
        <v>425</v>
      </c>
    </row>
    <row r="57">
      <c r="A57" s="183" t="s">
        <v>528</v>
      </c>
      <c r="B57" s="183" t="s">
        <v>529</v>
      </c>
      <c r="C57" s="183" t="s">
        <v>502</v>
      </c>
      <c r="D57" s="183" t="s">
        <v>503</v>
      </c>
      <c r="E57" s="183" t="s">
        <v>423</v>
      </c>
      <c r="F57" s="184">
        <v>8.0</v>
      </c>
      <c r="G57" s="184" t="s">
        <v>443</v>
      </c>
      <c r="H57" s="183" t="s">
        <v>425</v>
      </c>
    </row>
    <row r="58">
      <c r="A58" s="183" t="s">
        <v>530</v>
      </c>
      <c r="B58" s="183" t="s">
        <v>531</v>
      </c>
      <c r="C58" s="183" t="s">
        <v>502</v>
      </c>
      <c r="D58" s="183" t="s">
        <v>503</v>
      </c>
      <c r="E58" s="183" t="s">
        <v>423</v>
      </c>
      <c r="F58" s="184">
        <v>5.0</v>
      </c>
      <c r="G58" s="184" t="s">
        <v>443</v>
      </c>
      <c r="H58" s="183" t="s">
        <v>425</v>
      </c>
    </row>
    <row r="59">
      <c r="A59" s="183" t="s">
        <v>532</v>
      </c>
      <c r="C59" s="185"/>
      <c r="F59" s="184">
        <f>SUM(F44:F58)</f>
        <v>85</v>
      </c>
      <c r="G59" s="186"/>
    </row>
    <row r="60">
      <c r="C60" s="185"/>
      <c r="F60" s="186"/>
      <c r="G60" s="186"/>
    </row>
    <row r="61">
      <c r="A61" s="183" t="s">
        <v>533</v>
      </c>
      <c r="C61" s="185"/>
      <c r="F61" s="186"/>
      <c r="G61" s="186"/>
    </row>
    <row r="62">
      <c r="A62" s="183" t="s">
        <v>534</v>
      </c>
      <c r="B62" s="183" t="s">
        <v>535</v>
      </c>
      <c r="C62" s="183" t="s">
        <v>536</v>
      </c>
      <c r="D62" s="183" t="s">
        <v>537</v>
      </c>
      <c r="E62" s="183" t="s">
        <v>423</v>
      </c>
      <c r="F62" s="184">
        <v>8.0</v>
      </c>
      <c r="G62" s="184" t="s">
        <v>428</v>
      </c>
      <c r="H62" s="183" t="s">
        <v>425</v>
      </c>
    </row>
    <row r="63">
      <c r="A63" s="183" t="s">
        <v>538</v>
      </c>
      <c r="B63" s="183" t="s">
        <v>539</v>
      </c>
      <c r="C63" s="183" t="s">
        <v>536</v>
      </c>
      <c r="D63" s="183" t="s">
        <v>537</v>
      </c>
      <c r="E63" s="183" t="s">
        <v>423</v>
      </c>
      <c r="F63" s="184">
        <v>5.0</v>
      </c>
      <c r="G63" s="184" t="s">
        <v>428</v>
      </c>
      <c r="H63" s="183" t="s">
        <v>425</v>
      </c>
    </row>
    <row r="64">
      <c r="A64" s="183" t="s">
        <v>540</v>
      </c>
      <c r="B64" s="183" t="s">
        <v>541</v>
      </c>
      <c r="C64" s="183" t="s">
        <v>536</v>
      </c>
      <c r="D64" s="183" t="s">
        <v>537</v>
      </c>
      <c r="E64" s="183" t="s">
        <v>423</v>
      </c>
      <c r="F64" s="184">
        <v>8.0</v>
      </c>
      <c r="G64" s="184" t="s">
        <v>428</v>
      </c>
      <c r="H64" s="183" t="s">
        <v>425</v>
      </c>
    </row>
    <row r="65">
      <c r="A65" s="183" t="s">
        <v>542</v>
      </c>
      <c r="B65" s="183" t="s">
        <v>543</v>
      </c>
      <c r="C65" s="183" t="s">
        <v>536</v>
      </c>
      <c r="D65" s="183" t="s">
        <v>537</v>
      </c>
      <c r="E65" s="183" t="s">
        <v>423</v>
      </c>
      <c r="F65" s="184">
        <v>5.0</v>
      </c>
      <c r="G65" s="184" t="s">
        <v>428</v>
      </c>
      <c r="H65" s="183" t="s">
        <v>425</v>
      </c>
    </row>
    <row r="66">
      <c r="A66" s="183" t="s">
        <v>544</v>
      </c>
      <c r="B66" s="183" t="s">
        <v>545</v>
      </c>
      <c r="C66" s="183" t="s">
        <v>536</v>
      </c>
      <c r="D66" s="183" t="s">
        <v>537</v>
      </c>
      <c r="E66" s="183" t="s">
        <v>423</v>
      </c>
      <c r="F66" s="184">
        <v>8.0</v>
      </c>
      <c r="G66" s="184" t="s">
        <v>428</v>
      </c>
      <c r="H66" s="183" t="s">
        <v>425</v>
      </c>
    </row>
    <row r="67">
      <c r="A67" s="183" t="s">
        <v>546</v>
      </c>
      <c r="B67" s="183" t="s">
        <v>547</v>
      </c>
      <c r="C67" s="183" t="s">
        <v>536</v>
      </c>
      <c r="D67" s="183" t="s">
        <v>537</v>
      </c>
      <c r="E67" s="183" t="s">
        <v>423</v>
      </c>
      <c r="F67" s="184">
        <v>5.0</v>
      </c>
      <c r="G67" s="184" t="s">
        <v>424</v>
      </c>
      <c r="H67" s="183" t="s">
        <v>425</v>
      </c>
    </row>
    <row r="68">
      <c r="A68" s="183" t="s">
        <v>548</v>
      </c>
      <c r="B68" s="183" t="s">
        <v>549</v>
      </c>
      <c r="C68" s="183" t="s">
        <v>536</v>
      </c>
      <c r="D68" s="183" t="s">
        <v>537</v>
      </c>
      <c r="E68" s="183" t="s">
        <v>423</v>
      </c>
      <c r="F68" s="184">
        <v>8.0</v>
      </c>
      <c r="G68" s="184" t="s">
        <v>424</v>
      </c>
      <c r="H68" s="183" t="s">
        <v>425</v>
      </c>
    </row>
    <row r="69">
      <c r="A69" s="183" t="s">
        <v>550</v>
      </c>
      <c r="B69" s="183" t="s">
        <v>551</v>
      </c>
      <c r="C69" s="183" t="s">
        <v>536</v>
      </c>
      <c r="D69" s="183" t="s">
        <v>537</v>
      </c>
      <c r="E69" s="183" t="s">
        <v>423</v>
      </c>
      <c r="F69" s="184">
        <v>5.0</v>
      </c>
      <c r="G69" s="184" t="s">
        <v>428</v>
      </c>
      <c r="H69" s="183" t="s">
        <v>425</v>
      </c>
    </row>
    <row r="70">
      <c r="A70" s="183" t="s">
        <v>552</v>
      </c>
      <c r="B70" s="183" t="s">
        <v>553</v>
      </c>
      <c r="C70" s="183" t="s">
        <v>536</v>
      </c>
      <c r="D70" s="183" t="s">
        <v>537</v>
      </c>
      <c r="E70" s="183" t="s">
        <v>423</v>
      </c>
      <c r="F70" s="184">
        <v>5.0</v>
      </c>
      <c r="G70" s="184" t="s">
        <v>428</v>
      </c>
      <c r="H70" s="183" t="s">
        <v>425</v>
      </c>
    </row>
    <row r="71">
      <c r="A71" s="183" t="s">
        <v>554</v>
      </c>
      <c r="B71" s="183" t="s">
        <v>555</v>
      </c>
      <c r="C71" s="183" t="s">
        <v>536</v>
      </c>
      <c r="D71" s="183" t="s">
        <v>537</v>
      </c>
      <c r="E71" s="183" t="s">
        <v>423</v>
      </c>
      <c r="F71" s="184">
        <v>8.0</v>
      </c>
      <c r="G71" s="184" t="s">
        <v>428</v>
      </c>
      <c r="H71" s="183" t="s">
        <v>425</v>
      </c>
    </row>
    <row r="72">
      <c r="A72" s="183" t="s">
        <v>556</v>
      </c>
      <c r="B72" s="183" t="s">
        <v>557</v>
      </c>
      <c r="C72" s="183" t="s">
        <v>536</v>
      </c>
      <c r="D72" s="183" t="s">
        <v>537</v>
      </c>
      <c r="E72" s="183" t="s">
        <v>423</v>
      </c>
      <c r="F72" s="184">
        <v>5.0</v>
      </c>
      <c r="G72" s="184" t="s">
        <v>428</v>
      </c>
      <c r="H72" s="183" t="s">
        <v>425</v>
      </c>
    </row>
    <row r="73">
      <c r="A73" s="183" t="s">
        <v>558</v>
      </c>
      <c r="C73" s="185"/>
      <c r="F73" s="184">
        <f>SUM(F62:F72)</f>
        <v>70</v>
      </c>
      <c r="G73" s="186"/>
    </row>
    <row r="74">
      <c r="C74" s="185"/>
      <c r="F74" s="186"/>
      <c r="G74" s="186"/>
    </row>
    <row r="75">
      <c r="A75" s="183" t="s">
        <v>559</v>
      </c>
      <c r="C75" s="185"/>
      <c r="F75" s="186"/>
      <c r="G75" s="186"/>
    </row>
    <row r="76">
      <c r="A76" s="183" t="s">
        <v>560</v>
      </c>
      <c r="B76" s="183" t="s">
        <v>561</v>
      </c>
      <c r="C76" s="183" t="s">
        <v>562</v>
      </c>
      <c r="D76" s="183" t="s">
        <v>563</v>
      </c>
      <c r="E76" s="183" t="s">
        <v>423</v>
      </c>
      <c r="F76" s="184">
        <v>5.0</v>
      </c>
      <c r="G76" s="184" t="s">
        <v>424</v>
      </c>
      <c r="H76" s="183" t="s">
        <v>425</v>
      </c>
    </row>
    <row r="77">
      <c r="A77" s="183" t="s">
        <v>564</v>
      </c>
      <c r="B77" s="183" t="s">
        <v>565</v>
      </c>
      <c r="C77" s="183" t="s">
        <v>562</v>
      </c>
      <c r="D77" s="183" t="s">
        <v>563</v>
      </c>
      <c r="E77" s="183" t="s">
        <v>423</v>
      </c>
      <c r="F77" s="184">
        <v>3.0</v>
      </c>
      <c r="G77" s="184" t="s">
        <v>424</v>
      </c>
      <c r="H77" s="183" t="s">
        <v>425</v>
      </c>
    </row>
    <row r="78">
      <c r="A78" s="183" t="s">
        <v>566</v>
      </c>
      <c r="B78" s="183" t="s">
        <v>567</v>
      </c>
      <c r="C78" s="183" t="s">
        <v>562</v>
      </c>
      <c r="D78" s="183" t="s">
        <v>563</v>
      </c>
      <c r="E78" s="183" t="s">
        <v>423</v>
      </c>
      <c r="F78" s="184">
        <v>3.0</v>
      </c>
      <c r="G78" s="184" t="s">
        <v>424</v>
      </c>
      <c r="H78" s="183" t="s">
        <v>425</v>
      </c>
    </row>
    <row r="79">
      <c r="A79" s="183" t="s">
        <v>568</v>
      </c>
      <c r="B79" s="183" t="s">
        <v>569</v>
      </c>
      <c r="C79" s="183" t="s">
        <v>562</v>
      </c>
      <c r="D79" s="183" t="s">
        <v>563</v>
      </c>
      <c r="E79" s="183" t="s">
        <v>423</v>
      </c>
      <c r="F79" s="184">
        <v>5.0</v>
      </c>
      <c r="G79" s="184" t="s">
        <v>424</v>
      </c>
      <c r="H79" s="183" t="s">
        <v>425</v>
      </c>
    </row>
    <row r="80">
      <c r="A80" s="183" t="s">
        <v>570</v>
      </c>
      <c r="B80" s="183" t="s">
        <v>571</v>
      </c>
      <c r="C80" s="183" t="s">
        <v>562</v>
      </c>
      <c r="D80" s="183" t="s">
        <v>563</v>
      </c>
      <c r="E80" s="183" t="s">
        <v>423</v>
      </c>
      <c r="F80" s="184">
        <v>8.0</v>
      </c>
      <c r="G80" s="184" t="s">
        <v>428</v>
      </c>
      <c r="H80" s="183" t="s">
        <v>425</v>
      </c>
    </row>
    <row r="81">
      <c r="A81" s="183" t="s">
        <v>572</v>
      </c>
      <c r="B81" s="183" t="s">
        <v>573</v>
      </c>
      <c r="C81" s="183" t="s">
        <v>562</v>
      </c>
      <c r="D81" s="183" t="s">
        <v>563</v>
      </c>
      <c r="E81" s="183" t="s">
        <v>423</v>
      </c>
      <c r="F81" s="184">
        <v>5.0</v>
      </c>
      <c r="G81" s="184" t="s">
        <v>428</v>
      </c>
      <c r="H81" s="183" t="s">
        <v>425</v>
      </c>
    </row>
    <row r="82">
      <c r="A82" s="183" t="s">
        <v>574</v>
      </c>
      <c r="B82" s="183" t="s">
        <v>575</v>
      </c>
      <c r="C82" s="183" t="s">
        <v>562</v>
      </c>
      <c r="D82" s="183" t="s">
        <v>563</v>
      </c>
      <c r="E82" s="183" t="s">
        <v>423</v>
      </c>
      <c r="F82" s="184">
        <v>8.0</v>
      </c>
      <c r="G82" s="184" t="s">
        <v>424</v>
      </c>
      <c r="H82" s="183" t="s">
        <v>425</v>
      </c>
    </row>
    <row r="83">
      <c r="A83" s="183" t="s">
        <v>576</v>
      </c>
      <c r="B83" s="183" t="s">
        <v>577</v>
      </c>
      <c r="C83" s="183" t="s">
        <v>562</v>
      </c>
      <c r="D83" s="183" t="s">
        <v>563</v>
      </c>
      <c r="E83" s="183" t="s">
        <v>423</v>
      </c>
      <c r="F83" s="184">
        <v>5.0</v>
      </c>
      <c r="G83" s="184" t="s">
        <v>424</v>
      </c>
      <c r="H83" s="183" t="s">
        <v>425</v>
      </c>
    </row>
    <row r="84">
      <c r="A84" s="183" t="s">
        <v>578</v>
      </c>
      <c r="B84" s="183" t="s">
        <v>579</v>
      </c>
      <c r="C84" s="183" t="s">
        <v>562</v>
      </c>
      <c r="D84" s="183" t="s">
        <v>563</v>
      </c>
      <c r="E84" s="183" t="s">
        <v>423</v>
      </c>
      <c r="F84" s="184">
        <v>5.0</v>
      </c>
      <c r="G84" s="184" t="s">
        <v>424</v>
      </c>
      <c r="H84" s="183" t="s">
        <v>425</v>
      </c>
    </row>
    <row r="85">
      <c r="A85" s="183" t="s">
        <v>580</v>
      </c>
      <c r="B85" s="183" t="s">
        <v>581</v>
      </c>
      <c r="C85" s="183" t="s">
        <v>562</v>
      </c>
      <c r="D85" s="183" t="s">
        <v>563</v>
      </c>
      <c r="E85" s="183" t="s">
        <v>423</v>
      </c>
      <c r="F85" s="184">
        <v>3.0</v>
      </c>
      <c r="G85" s="184" t="s">
        <v>428</v>
      </c>
      <c r="H85" s="183" t="s">
        <v>425</v>
      </c>
    </row>
    <row r="86">
      <c r="A86" s="183" t="s">
        <v>582</v>
      </c>
      <c r="C86" s="185"/>
      <c r="F86" s="184">
        <f>SUM(F76:F85)</f>
        <v>50</v>
      </c>
      <c r="G86" s="186"/>
    </row>
    <row r="87">
      <c r="C87" s="185"/>
      <c r="F87" s="186"/>
      <c r="G87" s="186"/>
    </row>
    <row r="88">
      <c r="A88" s="183" t="s">
        <v>583</v>
      </c>
      <c r="C88" s="185"/>
      <c r="F88" s="186"/>
      <c r="G88" s="186"/>
    </row>
    <row r="89">
      <c r="A89" s="183" t="s">
        <v>584</v>
      </c>
      <c r="B89" s="183" t="s">
        <v>585</v>
      </c>
      <c r="C89" s="183" t="s">
        <v>586</v>
      </c>
      <c r="D89" s="183" t="s">
        <v>587</v>
      </c>
      <c r="E89" s="183" t="s">
        <v>423</v>
      </c>
      <c r="F89" s="184">
        <v>5.0</v>
      </c>
      <c r="G89" s="184" t="s">
        <v>428</v>
      </c>
      <c r="H89" s="183" t="s">
        <v>425</v>
      </c>
    </row>
    <row r="90">
      <c r="A90" s="183" t="s">
        <v>588</v>
      </c>
      <c r="B90" s="183" t="s">
        <v>589</v>
      </c>
      <c r="C90" s="183" t="s">
        <v>586</v>
      </c>
      <c r="D90" s="183" t="s">
        <v>587</v>
      </c>
      <c r="E90" s="183" t="s">
        <v>423</v>
      </c>
      <c r="F90" s="184">
        <v>5.0</v>
      </c>
      <c r="G90" s="184" t="s">
        <v>428</v>
      </c>
      <c r="H90" s="183" t="s">
        <v>425</v>
      </c>
    </row>
    <row r="91">
      <c r="A91" s="183" t="s">
        <v>590</v>
      </c>
      <c r="B91" s="183" t="s">
        <v>591</v>
      </c>
      <c r="C91" s="183" t="s">
        <v>586</v>
      </c>
      <c r="D91" s="183" t="s">
        <v>587</v>
      </c>
      <c r="E91" s="183" t="s">
        <v>423</v>
      </c>
      <c r="F91" s="184">
        <v>8.0</v>
      </c>
      <c r="G91" s="184" t="s">
        <v>428</v>
      </c>
      <c r="H91" s="183" t="s">
        <v>425</v>
      </c>
    </row>
    <row r="92">
      <c r="A92" s="183" t="s">
        <v>592</v>
      </c>
      <c r="B92" s="183" t="s">
        <v>593</v>
      </c>
      <c r="C92" s="183" t="s">
        <v>586</v>
      </c>
      <c r="D92" s="183" t="s">
        <v>587</v>
      </c>
      <c r="E92" s="183" t="s">
        <v>423</v>
      </c>
      <c r="F92" s="184">
        <v>8.0</v>
      </c>
      <c r="G92" s="184" t="s">
        <v>424</v>
      </c>
      <c r="H92" s="183" t="s">
        <v>425</v>
      </c>
    </row>
    <row r="93">
      <c r="A93" s="183" t="s">
        <v>594</v>
      </c>
      <c r="B93" s="183" t="s">
        <v>595</v>
      </c>
      <c r="C93" s="183" t="s">
        <v>586</v>
      </c>
      <c r="D93" s="183" t="s">
        <v>587</v>
      </c>
      <c r="E93" s="183" t="s">
        <v>423</v>
      </c>
      <c r="F93" s="184">
        <v>5.0</v>
      </c>
      <c r="G93" s="184" t="s">
        <v>428</v>
      </c>
      <c r="H93" s="183" t="s">
        <v>425</v>
      </c>
    </row>
    <row r="94">
      <c r="A94" s="183" t="s">
        <v>596</v>
      </c>
      <c r="B94" s="183" t="s">
        <v>597</v>
      </c>
      <c r="C94" s="183" t="s">
        <v>586</v>
      </c>
      <c r="D94" s="183" t="s">
        <v>587</v>
      </c>
      <c r="E94" s="183" t="s">
        <v>423</v>
      </c>
      <c r="F94" s="184">
        <v>8.0</v>
      </c>
      <c r="G94" s="184" t="s">
        <v>428</v>
      </c>
      <c r="H94" s="183" t="s">
        <v>425</v>
      </c>
    </row>
    <row r="95">
      <c r="A95" s="183" t="s">
        <v>598</v>
      </c>
      <c r="B95" s="183" t="s">
        <v>599</v>
      </c>
      <c r="C95" s="183" t="s">
        <v>586</v>
      </c>
      <c r="D95" s="183" t="s">
        <v>587</v>
      </c>
      <c r="E95" s="183" t="s">
        <v>423</v>
      </c>
      <c r="F95" s="184">
        <v>3.0</v>
      </c>
      <c r="G95" s="184" t="s">
        <v>428</v>
      </c>
      <c r="H95" s="183" t="s">
        <v>425</v>
      </c>
    </row>
    <row r="96">
      <c r="A96" s="183" t="s">
        <v>600</v>
      </c>
      <c r="B96" s="183" t="s">
        <v>601</v>
      </c>
      <c r="C96" s="183" t="s">
        <v>586</v>
      </c>
      <c r="D96" s="183" t="s">
        <v>587</v>
      </c>
      <c r="E96" s="183" t="s">
        <v>423</v>
      </c>
      <c r="F96" s="184">
        <v>5.0</v>
      </c>
      <c r="G96" s="184" t="s">
        <v>424</v>
      </c>
      <c r="H96" s="183" t="s">
        <v>425</v>
      </c>
    </row>
    <row r="97">
      <c r="A97" s="183" t="s">
        <v>602</v>
      </c>
      <c r="B97" s="183" t="s">
        <v>603</v>
      </c>
      <c r="C97" s="183" t="s">
        <v>586</v>
      </c>
      <c r="D97" s="183" t="s">
        <v>587</v>
      </c>
      <c r="E97" s="183" t="s">
        <v>423</v>
      </c>
      <c r="F97" s="184">
        <v>3.0</v>
      </c>
      <c r="G97" s="184" t="s">
        <v>443</v>
      </c>
      <c r="H97" s="183" t="s">
        <v>425</v>
      </c>
    </row>
    <row r="98">
      <c r="A98" s="183" t="s">
        <v>604</v>
      </c>
      <c r="B98" s="183" t="s">
        <v>605</v>
      </c>
      <c r="C98" s="183" t="s">
        <v>586</v>
      </c>
      <c r="D98" s="183" t="s">
        <v>587</v>
      </c>
      <c r="E98" s="183" t="s">
        <v>423</v>
      </c>
      <c r="F98" s="184">
        <v>5.0</v>
      </c>
      <c r="G98" s="184" t="s">
        <v>428</v>
      </c>
      <c r="H98" s="183" t="s">
        <v>425</v>
      </c>
    </row>
    <row r="99">
      <c r="A99" s="183" t="s">
        <v>606</v>
      </c>
      <c r="B99" s="183" t="s">
        <v>607</v>
      </c>
      <c r="C99" s="183" t="s">
        <v>586</v>
      </c>
      <c r="D99" s="183" t="s">
        <v>587</v>
      </c>
      <c r="E99" s="183" t="s">
        <v>423</v>
      </c>
      <c r="F99" s="184">
        <v>8.0</v>
      </c>
      <c r="G99" s="184" t="s">
        <v>428</v>
      </c>
      <c r="H99" s="183" t="s">
        <v>425</v>
      </c>
    </row>
    <row r="100">
      <c r="A100" s="183" t="s">
        <v>608</v>
      </c>
      <c r="C100" s="185"/>
      <c r="F100" s="184">
        <f>SUM(F89:F99)</f>
        <v>63</v>
      </c>
      <c r="G100" s="186"/>
    </row>
    <row r="101">
      <c r="C101" s="185"/>
      <c r="F101" s="186"/>
      <c r="G101" s="186"/>
    </row>
    <row r="102">
      <c r="A102" s="183" t="s">
        <v>609</v>
      </c>
      <c r="C102" s="185"/>
      <c r="F102" s="186"/>
      <c r="G102" s="186"/>
    </row>
    <row r="103">
      <c r="A103" s="183" t="s">
        <v>610</v>
      </c>
      <c r="B103" s="183" t="s">
        <v>611</v>
      </c>
      <c r="C103" s="183" t="s">
        <v>612</v>
      </c>
      <c r="D103" s="183" t="s">
        <v>613</v>
      </c>
      <c r="E103" s="183" t="s">
        <v>423</v>
      </c>
      <c r="F103" s="184">
        <v>5.0</v>
      </c>
      <c r="G103" s="184" t="s">
        <v>424</v>
      </c>
      <c r="H103" s="183" t="s">
        <v>425</v>
      </c>
    </row>
    <row r="104">
      <c r="A104" s="183" t="s">
        <v>614</v>
      </c>
      <c r="B104" s="183" t="s">
        <v>615</v>
      </c>
      <c r="C104" s="183" t="s">
        <v>612</v>
      </c>
      <c r="D104" s="183" t="s">
        <v>613</v>
      </c>
      <c r="E104" s="183" t="s">
        <v>423</v>
      </c>
      <c r="F104" s="184">
        <v>8.0</v>
      </c>
      <c r="G104" s="184" t="s">
        <v>424</v>
      </c>
      <c r="H104" s="183" t="s">
        <v>425</v>
      </c>
    </row>
    <row r="105">
      <c r="A105" s="183" t="s">
        <v>616</v>
      </c>
      <c r="B105" s="183" t="s">
        <v>617</v>
      </c>
      <c r="C105" s="183" t="s">
        <v>612</v>
      </c>
      <c r="D105" s="183" t="s">
        <v>613</v>
      </c>
      <c r="E105" s="183" t="s">
        <v>423</v>
      </c>
      <c r="F105" s="184">
        <v>5.0</v>
      </c>
      <c r="G105" s="184" t="s">
        <v>428</v>
      </c>
      <c r="H105" s="183" t="s">
        <v>425</v>
      </c>
    </row>
    <row r="106">
      <c r="A106" s="183" t="s">
        <v>618</v>
      </c>
      <c r="B106" s="183" t="s">
        <v>619</v>
      </c>
      <c r="C106" s="183" t="s">
        <v>612</v>
      </c>
      <c r="D106" s="183" t="s">
        <v>613</v>
      </c>
      <c r="E106" s="183" t="s">
        <v>423</v>
      </c>
      <c r="F106" s="184">
        <v>5.0</v>
      </c>
      <c r="G106" s="184" t="s">
        <v>428</v>
      </c>
      <c r="H106" s="183" t="s">
        <v>425</v>
      </c>
    </row>
    <row r="107">
      <c r="A107" s="183" t="s">
        <v>620</v>
      </c>
      <c r="B107" s="183" t="s">
        <v>621</v>
      </c>
      <c r="C107" s="183" t="s">
        <v>612</v>
      </c>
      <c r="D107" s="183" t="s">
        <v>613</v>
      </c>
      <c r="E107" s="183" t="s">
        <v>423</v>
      </c>
      <c r="F107" s="184">
        <v>3.0</v>
      </c>
      <c r="G107" s="184" t="s">
        <v>428</v>
      </c>
      <c r="H107" s="183" t="s">
        <v>425</v>
      </c>
    </row>
    <row r="108">
      <c r="A108" s="183" t="s">
        <v>622</v>
      </c>
      <c r="B108" s="183" t="s">
        <v>623</v>
      </c>
      <c r="C108" s="183" t="s">
        <v>612</v>
      </c>
      <c r="D108" s="183" t="s">
        <v>613</v>
      </c>
      <c r="E108" s="183" t="s">
        <v>423</v>
      </c>
      <c r="F108" s="184">
        <v>5.0</v>
      </c>
      <c r="G108" s="184" t="s">
        <v>443</v>
      </c>
      <c r="H108" s="183" t="s">
        <v>425</v>
      </c>
    </row>
    <row r="109">
      <c r="A109" s="183" t="s">
        <v>624</v>
      </c>
      <c r="B109" s="183" t="s">
        <v>625</v>
      </c>
      <c r="C109" s="183" t="s">
        <v>612</v>
      </c>
      <c r="D109" s="183" t="s">
        <v>613</v>
      </c>
      <c r="E109" s="183" t="s">
        <v>423</v>
      </c>
      <c r="F109" s="184">
        <v>5.0</v>
      </c>
      <c r="G109" s="184" t="s">
        <v>443</v>
      </c>
      <c r="H109" s="183" t="s">
        <v>425</v>
      </c>
    </row>
    <row r="110">
      <c r="A110" s="183" t="s">
        <v>626</v>
      </c>
      <c r="B110" s="183" t="s">
        <v>627</v>
      </c>
      <c r="C110" s="183" t="s">
        <v>612</v>
      </c>
      <c r="D110" s="183" t="s">
        <v>613</v>
      </c>
      <c r="E110" s="183" t="s">
        <v>423</v>
      </c>
      <c r="F110" s="184">
        <v>5.0</v>
      </c>
      <c r="G110" s="184" t="s">
        <v>443</v>
      </c>
      <c r="H110" s="183" t="s">
        <v>425</v>
      </c>
    </row>
    <row r="111">
      <c r="A111" s="183" t="s">
        <v>628</v>
      </c>
      <c r="B111" s="183" t="s">
        <v>629</v>
      </c>
      <c r="C111" s="183" t="s">
        <v>612</v>
      </c>
      <c r="D111" s="183" t="s">
        <v>613</v>
      </c>
      <c r="E111" s="183" t="s">
        <v>423</v>
      </c>
      <c r="F111" s="184">
        <v>5.0</v>
      </c>
      <c r="G111" s="184" t="s">
        <v>443</v>
      </c>
      <c r="H111" s="183" t="s">
        <v>425</v>
      </c>
    </row>
    <row r="112">
      <c r="A112" s="183" t="s">
        <v>630</v>
      </c>
      <c r="B112" s="183" t="s">
        <v>631</v>
      </c>
      <c r="C112" s="183" t="s">
        <v>612</v>
      </c>
      <c r="D112" s="183" t="s">
        <v>613</v>
      </c>
      <c r="E112" s="183" t="s">
        <v>423</v>
      </c>
      <c r="F112" s="184">
        <v>3.0</v>
      </c>
      <c r="G112" s="184" t="s">
        <v>443</v>
      </c>
      <c r="H112" s="183" t="s">
        <v>425</v>
      </c>
    </row>
    <row r="113">
      <c r="A113" s="183" t="s">
        <v>632</v>
      </c>
      <c r="B113" s="183" t="s">
        <v>633</v>
      </c>
      <c r="C113" s="183" t="s">
        <v>612</v>
      </c>
      <c r="D113" s="183" t="s">
        <v>613</v>
      </c>
      <c r="E113" s="183" t="s">
        <v>423</v>
      </c>
      <c r="F113" s="184">
        <v>5.0</v>
      </c>
      <c r="G113" s="184" t="s">
        <v>424</v>
      </c>
      <c r="H113" s="183" t="s">
        <v>425</v>
      </c>
    </row>
    <row r="114">
      <c r="A114" s="183" t="s">
        <v>634</v>
      </c>
      <c r="B114" s="183" t="s">
        <v>635</v>
      </c>
      <c r="C114" s="183" t="s">
        <v>612</v>
      </c>
      <c r="D114" s="183" t="s">
        <v>613</v>
      </c>
      <c r="E114" s="183" t="s">
        <v>423</v>
      </c>
      <c r="F114" s="184">
        <v>5.0</v>
      </c>
      <c r="G114" s="184" t="s">
        <v>428</v>
      </c>
      <c r="H114" s="183" t="s">
        <v>425</v>
      </c>
    </row>
    <row r="115">
      <c r="A115" s="183" t="s">
        <v>636</v>
      </c>
      <c r="C115" s="185"/>
      <c r="F115" s="184">
        <f>SUM(F103:F114)</f>
        <v>59</v>
      </c>
      <c r="G115" s="186"/>
    </row>
    <row r="116">
      <c r="C116" s="185"/>
      <c r="F116" s="186"/>
      <c r="G116" s="186"/>
    </row>
    <row r="117">
      <c r="A117" s="183" t="s">
        <v>637</v>
      </c>
      <c r="C117" s="185"/>
      <c r="F117" s="186"/>
      <c r="G117" s="186"/>
    </row>
    <row r="118">
      <c r="A118" s="183" t="s">
        <v>638</v>
      </c>
      <c r="B118" s="183" t="s">
        <v>639</v>
      </c>
      <c r="C118" s="183" t="s">
        <v>640</v>
      </c>
      <c r="D118" s="183" t="s">
        <v>641</v>
      </c>
      <c r="E118" s="183" t="s">
        <v>423</v>
      </c>
      <c r="F118" s="184">
        <v>8.0</v>
      </c>
      <c r="G118" s="184" t="s">
        <v>424</v>
      </c>
      <c r="H118" s="183" t="s">
        <v>425</v>
      </c>
    </row>
    <row r="119">
      <c r="A119" s="183" t="s">
        <v>642</v>
      </c>
      <c r="B119" s="183" t="s">
        <v>643</v>
      </c>
      <c r="C119" s="183" t="s">
        <v>640</v>
      </c>
      <c r="D119" s="183" t="s">
        <v>641</v>
      </c>
      <c r="E119" s="183" t="s">
        <v>423</v>
      </c>
      <c r="F119" s="184">
        <v>3.0</v>
      </c>
      <c r="G119" s="184" t="s">
        <v>424</v>
      </c>
      <c r="H119" s="183" t="s">
        <v>425</v>
      </c>
    </row>
    <row r="120">
      <c r="A120" s="183" t="s">
        <v>644</v>
      </c>
      <c r="B120" s="183" t="s">
        <v>645</v>
      </c>
      <c r="C120" s="183" t="s">
        <v>640</v>
      </c>
      <c r="D120" s="183" t="s">
        <v>641</v>
      </c>
      <c r="E120" s="183" t="s">
        <v>423</v>
      </c>
      <c r="F120" s="184">
        <v>3.0</v>
      </c>
      <c r="G120" s="184" t="s">
        <v>424</v>
      </c>
      <c r="H120" s="183" t="s">
        <v>425</v>
      </c>
    </row>
    <row r="121">
      <c r="A121" s="183" t="s">
        <v>646</v>
      </c>
      <c r="B121" s="183" t="s">
        <v>647</v>
      </c>
      <c r="C121" s="183" t="s">
        <v>640</v>
      </c>
      <c r="D121" s="183" t="s">
        <v>641</v>
      </c>
      <c r="E121" s="183" t="s">
        <v>423</v>
      </c>
      <c r="F121" s="184">
        <v>3.0</v>
      </c>
      <c r="G121" s="184" t="s">
        <v>424</v>
      </c>
      <c r="H121" s="183" t="s">
        <v>425</v>
      </c>
    </row>
    <row r="122">
      <c r="A122" s="183" t="s">
        <v>648</v>
      </c>
      <c r="B122" s="183" t="s">
        <v>649</v>
      </c>
      <c r="C122" s="183" t="s">
        <v>640</v>
      </c>
      <c r="D122" s="183" t="s">
        <v>641</v>
      </c>
      <c r="E122" s="183" t="s">
        <v>423</v>
      </c>
      <c r="F122" s="184">
        <v>3.0</v>
      </c>
      <c r="G122" s="184" t="s">
        <v>424</v>
      </c>
      <c r="H122" s="183" t="s">
        <v>425</v>
      </c>
    </row>
    <row r="123">
      <c r="A123" s="183" t="s">
        <v>650</v>
      </c>
      <c r="B123" s="183" t="s">
        <v>651</v>
      </c>
      <c r="C123" s="183" t="s">
        <v>640</v>
      </c>
      <c r="D123" s="183" t="s">
        <v>641</v>
      </c>
      <c r="E123" s="183" t="s">
        <v>423</v>
      </c>
      <c r="F123" s="184">
        <v>3.0</v>
      </c>
      <c r="G123" s="184" t="s">
        <v>424</v>
      </c>
      <c r="H123" s="183" t="s">
        <v>425</v>
      </c>
    </row>
    <row r="124">
      <c r="A124" s="183" t="s">
        <v>652</v>
      </c>
      <c r="B124" s="183" t="s">
        <v>653</v>
      </c>
      <c r="C124" s="183" t="s">
        <v>640</v>
      </c>
      <c r="D124" s="183" t="s">
        <v>641</v>
      </c>
      <c r="E124" s="183" t="s">
        <v>423</v>
      </c>
      <c r="F124" s="184">
        <v>5.0</v>
      </c>
      <c r="G124" s="184" t="s">
        <v>424</v>
      </c>
      <c r="H124" s="183" t="s">
        <v>425</v>
      </c>
    </row>
    <row r="125">
      <c r="A125" s="183" t="s">
        <v>654</v>
      </c>
      <c r="B125" s="183" t="s">
        <v>655</v>
      </c>
      <c r="C125" s="183" t="s">
        <v>640</v>
      </c>
      <c r="D125" s="183" t="s">
        <v>641</v>
      </c>
      <c r="E125" s="183" t="s">
        <v>423</v>
      </c>
      <c r="F125" s="184">
        <v>5.0</v>
      </c>
      <c r="G125" s="184" t="s">
        <v>428</v>
      </c>
      <c r="H125" s="183" t="s">
        <v>425</v>
      </c>
    </row>
    <row r="126">
      <c r="A126" s="183" t="s">
        <v>656</v>
      </c>
      <c r="B126" s="183" t="s">
        <v>657</v>
      </c>
      <c r="C126" s="183" t="s">
        <v>640</v>
      </c>
      <c r="D126" s="183" t="s">
        <v>641</v>
      </c>
      <c r="E126" s="183" t="s">
        <v>423</v>
      </c>
      <c r="F126" s="184">
        <v>8.0</v>
      </c>
      <c r="G126" s="184" t="s">
        <v>443</v>
      </c>
      <c r="H126" s="183" t="s">
        <v>425</v>
      </c>
    </row>
    <row r="127">
      <c r="A127" s="183" t="s">
        <v>658</v>
      </c>
      <c r="B127" s="183" t="s">
        <v>659</v>
      </c>
      <c r="C127" s="183" t="s">
        <v>640</v>
      </c>
      <c r="D127" s="183" t="s">
        <v>641</v>
      </c>
      <c r="E127" s="183" t="s">
        <v>423</v>
      </c>
      <c r="F127" s="184">
        <v>5.0</v>
      </c>
      <c r="G127" s="184" t="s">
        <v>424</v>
      </c>
      <c r="H127" s="183" t="s">
        <v>425</v>
      </c>
    </row>
    <row r="128">
      <c r="A128" s="183" t="s">
        <v>660</v>
      </c>
      <c r="B128" s="183" t="s">
        <v>661</v>
      </c>
      <c r="C128" s="183" t="s">
        <v>640</v>
      </c>
      <c r="D128" s="183" t="s">
        <v>641</v>
      </c>
      <c r="E128" s="183" t="s">
        <v>423</v>
      </c>
      <c r="F128" s="184">
        <v>3.0</v>
      </c>
      <c r="G128" s="184" t="s">
        <v>428</v>
      </c>
      <c r="H128" s="183" t="s">
        <v>425</v>
      </c>
    </row>
    <row r="129">
      <c r="A129" s="183" t="s">
        <v>662</v>
      </c>
      <c r="B129" s="183" t="s">
        <v>663</v>
      </c>
      <c r="C129" s="183" t="s">
        <v>640</v>
      </c>
      <c r="D129" s="183" t="s">
        <v>641</v>
      </c>
      <c r="E129" s="183" t="s">
        <v>423</v>
      </c>
      <c r="F129" s="184">
        <v>5.0</v>
      </c>
      <c r="G129" s="184" t="s">
        <v>443</v>
      </c>
      <c r="H129" s="183" t="s">
        <v>425</v>
      </c>
    </row>
    <row r="130">
      <c r="A130" s="183" t="s">
        <v>664</v>
      </c>
      <c r="B130" s="183" t="s">
        <v>665</v>
      </c>
      <c r="C130" s="183" t="s">
        <v>640</v>
      </c>
      <c r="D130" s="183" t="s">
        <v>641</v>
      </c>
      <c r="E130" s="183" t="s">
        <v>423</v>
      </c>
      <c r="F130" s="184">
        <v>5.0</v>
      </c>
      <c r="G130" s="184" t="s">
        <v>428</v>
      </c>
      <c r="H130" s="183" t="s">
        <v>425</v>
      </c>
    </row>
    <row r="131">
      <c r="A131" s="183" t="s">
        <v>666</v>
      </c>
      <c r="B131" s="183" t="s">
        <v>667</v>
      </c>
      <c r="C131" s="183" t="s">
        <v>640</v>
      </c>
      <c r="D131" s="183" t="s">
        <v>641</v>
      </c>
      <c r="E131" s="183" t="s">
        <v>423</v>
      </c>
      <c r="F131" s="184">
        <v>8.0</v>
      </c>
      <c r="G131" s="184" t="s">
        <v>428</v>
      </c>
      <c r="H131" s="183" t="s">
        <v>425</v>
      </c>
    </row>
    <row r="132">
      <c r="A132" s="183" t="s">
        <v>668</v>
      </c>
      <c r="C132" s="185"/>
      <c r="F132" s="184">
        <f>SUM(F118:F131)</f>
        <v>67</v>
      </c>
      <c r="G132" s="186"/>
    </row>
    <row r="133">
      <c r="C133" s="185"/>
      <c r="F133" s="186"/>
      <c r="G133" s="186"/>
    </row>
    <row r="134">
      <c r="A134" s="183" t="s">
        <v>669</v>
      </c>
      <c r="C134" s="185"/>
      <c r="F134" s="186"/>
      <c r="G134" s="186"/>
    </row>
    <row r="135">
      <c r="A135" s="183" t="s">
        <v>670</v>
      </c>
      <c r="B135" s="183" t="s">
        <v>671</v>
      </c>
      <c r="C135" s="183" t="s">
        <v>672</v>
      </c>
      <c r="D135" s="183" t="s">
        <v>673</v>
      </c>
      <c r="E135" s="183" t="s">
        <v>423</v>
      </c>
      <c r="F135" s="184">
        <v>5.0</v>
      </c>
      <c r="G135" s="184" t="s">
        <v>424</v>
      </c>
      <c r="H135" s="183" t="s">
        <v>425</v>
      </c>
    </row>
    <row r="136">
      <c r="A136" s="183" t="s">
        <v>674</v>
      </c>
      <c r="B136" s="183" t="s">
        <v>675</v>
      </c>
      <c r="C136" s="183" t="s">
        <v>672</v>
      </c>
      <c r="D136" s="183" t="s">
        <v>673</v>
      </c>
      <c r="E136" s="183" t="s">
        <v>423</v>
      </c>
      <c r="F136" s="184">
        <v>5.0</v>
      </c>
      <c r="G136" s="184" t="s">
        <v>424</v>
      </c>
      <c r="H136" s="183" t="s">
        <v>425</v>
      </c>
    </row>
    <row r="137">
      <c r="A137" s="183" t="s">
        <v>676</v>
      </c>
      <c r="B137" s="183" t="s">
        <v>677</v>
      </c>
      <c r="C137" s="183" t="s">
        <v>672</v>
      </c>
      <c r="D137" s="183" t="s">
        <v>673</v>
      </c>
      <c r="E137" s="183" t="s">
        <v>423</v>
      </c>
      <c r="F137" s="184">
        <v>5.0</v>
      </c>
      <c r="G137" s="184" t="s">
        <v>424</v>
      </c>
      <c r="H137" s="183" t="s">
        <v>425</v>
      </c>
    </row>
    <row r="138">
      <c r="A138" s="183" t="s">
        <v>678</v>
      </c>
      <c r="B138" s="183" t="s">
        <v>679</v>
      </c>
      <c r="C138" s="183" t="s">
        <v>672</v>
      </c>
      <c r="D138" s="183" t="s">
        <v>673</v>
      </c>
      <c r="E138" s="183" t="s">
        <v>423</v>
      </c>
      <c r="F138" s="184">
        <v>5.0</v>
      </c>
      <c r="G138" s="184" t="s">
        <v>424</v>
      </c>
      <c r="H138" s="183" t="s">
        <v>425</v>
      </c>
    </row>
    <row r="139">
      <c r="A139" s="183" t="s">
        <v>680</v>
      </c>
      <c r="B139" s="183" t="s">
        <v>681</v>
      </c>
      <c r="C139" s="183" t="s">
        <v>672</v>
      </c>
      <c r="D139" s="183" t="s">
        <v>673</v>
      </c>
      <c r="E139" s="183" t="s">
        <v>423</v>
      </c>
      <c r="F139" s="184">
        <v>5.0</v>
      </c>
      <c r="G139" s="184" t="s">
        <v>424</v>
      </c>
      <c r="H139" s="183" t="s">
        <v>425</v>
      </c>
    </row>
    <row r="140">
      <c r="A140" s="183" t="s">
        <v>682</v>
      </c>
      <c r="B140" s="183" t="s">
        <v>683</v>
      </c>
      <c r="C140" s="183" t="s">
        <v>672</v>
      </c>
      <c r="D140" s="183" t="s">
        <v>673</v>
      </c>
      <c r="E140" s="183" t="s">
        <v>423</v>
      </c>
      <c r="F140" s="184">
        <v>3.0</v>
      </c>
      <c r="G140" s="184" t="s">
        <v>424</v>
      </c>
      <c r="H140" s="183" t="s">
        <v>425</v>
      </c>
    </row>
    <row r="141">
      <c r="A141" s="183" t="s">
        <v>684</v>
      </c>
      <c r="B141" s="183" t="s">
        <v>685</v>
      </c>
      <c r="C141" s="183" t="s">
        <v>672</v>
      </c>
      <c r="D141" s="183" t="s">
        <v>673</v>
      </c>
      <c r="E141" s="183" t="s">
        <v>423</v>
      </c>
      <c r="F141" s="184">
        <v>8.0</v>
      </c>
      <c r="G141" s="184" t="s">
        <v>428</v>
      </c>
      <c r="H141" s="183" t="s">
        <v>425</v>
      </c>
    </row>
    <row r="142">
      <c r="A142" s="183" t="s">
        <v>686</v>
      </c>
      <c r="B142" s="183" t="s">
        <v>687</v>
      </c>
      <c r="C142" s="183" t="s">
        <v>672</v>
      </c>
      <c r="D142" s="183" t="s">
        <v>673</v>
      </c>
      <c r="E142" s="183" t="s">
        <v>423</v>
      </c>
      <c r="F142" s="184">
        <v>5.0</v>
      </c>
      <c r="G142" s="184" t="s">
        <v>424</v>
      </c>
      <c r="H142" s="183" t="s">
        <v>425</v>
      </c>
    </row>
    <row r="143">
      <c r="A143" s="183" t="s">
        <v>688</v>
      </c>
      <c r="B143" s="183" t="s">
        <v>689</v>
      </c>
      <c r="C143" s="183" t="s">
        <v>672</v>
      </c>
      <c r="D143" s="183" t="s">
        <v>673</v>
      </c>
      <c r="E143" s="183" t="s">
        <v>423</v>
      </c>
      <c r="F143" s="184">
        <v>5.0</v>
      </c>
      <c r="G143" s="184" t="s">
        <v>424</v>
      </c>
      <c r="H143" s="183" t="s">
        <v>425</v>
      </c>
    </row>
    <row r="144">
      <c r="A144" s="183" t="s">
        <v>690</v>
      </c>
      <c r="B144" s="183" t="s">
        <v>691</v>
      </c>
      <c r="C144" s="183" t="s">
        <v>672</v>
      </c>
      <c r="D144" s="183" t="s">
        <v>673</v>
      </c>
      <c r="E144" s="183" t="s">
        <v>423</v>
      </c>
      <c r="F144" s="184">
        <v>5.0</v>
      </c>
      <c r="G144" s="184" t="s">
        <v>424</v>
      </c>
      <c r="H144" s="183" t="s">
        <v>425</v>
      </c>
    </row>
    <row r="145">
      <c r="A145" s="183" t="s">
        <v>692</v>
      </c>
      <c r="B145" s="183" t="s">
        <v>693</v>
      </c>
      <c r="C145" s="183" t="s">
        <v>672</v>
      </c>
      <c r="D145" s="183" t="s">
        <v>673</v>
      </c>
      <c r="E145" s="183" t="s">
        <v>423</v>
      </c>
      <c r="F145" s="184">
        <v>3.0</v>
      </c>
      <c r="G145" s="184" t="s">
        <v>428</v>
      </c>
      <c r="H145" s="183" t="s">
        <v>425</v>
      </c>
    </row>
    <row r="146">
      <c r="A146" s="183" t="s">
        <v>694</v>
      </c>
      <c r="B146" s="183" t="s">
        <v>695</v>
      </c>
      <c r="C146" s="183" t="s">
        <v>672</v>
      </c>
      <c r="D146" s="183" t="s">
        <v>673</v>
      </c>
      <c r="E146" s="183" t="s">
        <v>423</v>
      </c>
      <c r="F146" s="184">
        <v>5.0</v>
      </c>
      <c r="G146" s="184" t="s">
        <v>428</v>
      </c>
      <c r="H146" s="183" t="s">
        <v>425</v>
      </c>
    </row>
    <row r="147">
      <c r="A147" s="183" t="s">
        <v>696</v>
      </c>
      <c r="B147" s="183" t="s">
        <v>697</v>
      </c>
      <c r="C147" s="183" t="s">
        <v>672</v>
      </c>
      <c r="D147" s="183" t="s">
        <v>673</v>
      </c>
      <c r="E147" s="183" t="s">
        <v>423</v>
      </c>
      <c r="F147" s="184">
        <v>5.0</v>
      </c>
      <c r="G147" s="184" t="s">
        <v>424</v>
      </c>
      <c r="H147" s="183" t="s">
        <v>425</v>
      </c>
    </row>
    <row r="148">
      <c r="A148" s="183" t="s">
        <v>698</v>
      </c>
      <c r="C148" s="185"/>
      <c r="F148" s="184">
        <f>SUM(F135:F147)</f>
        <v>64</v>
      </c>
      <c r="G148" s="186"/>
    </row>
    <row r="149">
      <c r="C149" s="185"/>
      <c r="F149" s="186"/>
      <c r="G149" s="186"/>
    </row>
    <row r="150">
      <c r="A150" s="183" t="s">
        <v>699</v>
      </c>
      <c r="C150" s="185"/>
      <c r="F150" s="184">
        <v>623.0</v>
      </c>
      <c r="G150" s="186"/>
    </row>
    <row r="151">
      <c r="A151" s="183">
        <v>118.0</v>
      </c>
      <c r="F151" s="186"/>
      <c r="G151" s="186"/>
    </row>
    <row r="152">
      <c r="F152" s="186"/>
      <c r="G152" s="186"/>
    </row>
    <row r="153">
      <c r="F153" s="186"/>
      <c r="G153" s="186"/>
    </row>
    <row r="154">
      <c r="F154" s="186"/>
      <c r="G154" s="186"/>
    </row>
    <row r="155">
      <c r="F155" s="186"/>
      <c r="G155" s="186"/>
    </row>
    <row r="156">
      <c r="F156" s="186"/>
      <c r="G156" s="186"/>
    </row>
    <row r="157">
      <c r="F157" s="186"/>
      <c r="G157" s="186"/>
    </row>
    <row r="158">
      <c r="F158" s="186"/>
      <c r="G158" s="186"/>
    </row>
    <row r="159">
      <c r="F159" s="186"/>
      <c r="G159" s="186"/>
    </row>
    <row r="160">
      <c r="F160" s="186"/>
      <c r="G160" s="186"/>
    </row>
    <row r="161">
      <c r="F161" s="186"/>
      <c r="G161" s="186"/>
    </row>
    <row r="162">
      <c r="F162" s="186"/>
      <c r="G162" s="186"/>
    </row>
    <row r="163">
      <c r="F163" s="186"/>
      <c r="G163" s="186"/>
    </row>
    <row r="164">
      <c r="F164" s="186"/>
      <c r="G164" s="186"/>
    </row>
    <row r="165">
      <c r="F165" s="186"/>
      <c r="G165" s="186"/>
    </row>
    <row r="166">
      <c r="F166" s="186"/>
      <c r="G166" s="186"/>
    </row>
    <row r="167">
      <c r="F167" s="186"/>
      <c r="G167" s="186"/>
    </row>
    <row r="168">
      <c r="F168" s="186"/>
      <c r="G168" s="186"/>
    </row>
    <row r="169">
      <c r="F169" s="186"/>
      <c r="G169" s="186"/>
    </row>
    <row r="170">
      <c r="F170" s="186"/>
      <c r="G170" s="186"/>
    </row>
    <row r="171">
      <c r="F171" s="186"/>
      <c r="G171" s="186"/>
    </row>
    <row r="172">
      <c r="F172" s="186"/>
      <c r="G172" s="186"/>
    </row>
    <row r="173">
      <c r="F173" s="186"/>
      <c r="G173" s="186"/>
    </row>
    <row r="174">
      <c r="F174" s="186"/>
      <c r="G174" s="186"/>
    </row>
    <row r="175">
      <c r="F175" s="186"/>
      <c r="G175" s="186"/>
    </row>
    <row r="176">
      <c r="F176" s="186"/>
      <c r="G176" s="186"/>
    </row>
    <row r="177">
      <c r="F177" s="186"/>
      <c r="G177" s="186"/>
    </row>
    <row r="178">
      <c r="F178" s="186"/>
      <c r="G178" s="186"/>
    </row>
    <row r="179">
      <c r="F179" s="186"/>
      <c r="G179" s="186"/>
    </row>
    <row r="180">
      <c r="F180" s="186"/>
      <c r="G180" s="186"/>
    </row>
    <row r="181">
      <c r="F181" s="186"/>
      <c r="G181" s="186"/>
    </row>
    <row r="182">
      <c r="F182" s="186"/>
      <c r="G182" s="186"/>
    </row>
    <row r="183">
      <c r="F183" s="186"/>
      <c r="G183" s="186"/>
    </row>
    <row r="184">
      <c r="F184" s="186"/>
      <c r="G184" s="186"/>
    </row>
    <row r="185">
      <c r="F185" s="186"/>
      <c r="G185" s="186"/>
    </row>
    <row r="186">
      <c r="F186" s="186"/>
      <c r="G186" s="186"/>
    </row>
    <row r="187">
      <c r="F187" s="186"/>
      <c r="G187" s="186"/>
    </row>
    <row r="188">
      <c r="F188" s="186"/>
      <c r="G188" s="186"/>
    </row>
    <row r="189">
      <c r="F189" s="186"/>
      <c r="G189" s="186"/>
    </row>
    <row r="190">
      <c r="F190" s="186"/>
      <c r="G190" s="186"/>
    </row>
    <row r="191">
      <c r="F191" s="186"/>
      <c r="G191" s="186"/>
    </row>
    <row r="192">
      <c r="F192" s="186"/>
      <c r="G192" s="186"/>
    </row>
    <row r="193">
      <c r="F193" s="186"/>
      <c r="G193" s="186"/>
    </row>
    <row r="194">
      <c r="F194" s="186"/>
      <c r="G194" s="186"/>
    </row>
    <row r="195">
      <c r="F195" s="186"/>
      <c r="G195" s="186"/>
    </row>
    <row r="196">
      <c r="F196" s="186"/>
      <c r="G196" s="186"/>
    </row>
    <row r="197">
      <c r="F197" s="186"/>
      <c r="G197" s="186"/>
    </row>
    <row r="198">
      <c r="F198" s="186"/>
      <c r="G198" s="186"/>
    </row>
    <row r="199">
      <c r="F199" s="186"/>
      <c r="G199" s="186"/>
    </row>
    <row r="200">
      <c r="F200" s="186"/>
      <c r="G200" s="186"/>
    </row>
    <row r="201">
      <c r="F201" s="186"/>
      <c r="G201" s="186"/>
    </row>
    <row r="202">
      <c r="F202" s="186"/>
      <c r="G202" s="186"/>
    </row>
    <row r="203">
      <c r="F203" s="186"/>
      <c r="G203" s="186"/>
    </row>
    <row r="204">
      <c r="F204" s="186"/>
      <c r="G204" s="186"/>
    </row>
    <row r="205">
      <c r="F205" s="186"/>
      <c r="G205" s="186"/>
    </row>
    <row r="206">
      <c r="F206" s="186"/>
      <c r="G206" s="186"/>
    </row>
    <row r="207">
      <c r="F207" s="186"/>
      <c r="G207" s="186"/>
    </row>
    <row r="208">
      <c r="F208" s="186"/>
      <c r="G208" s="186"/>
    </row>
    <row r="209">
      <c r="F209" s="186"/>
      <c r="G209" s="186"/>
    </row>
    <row r="210">
      <c r="F210" s="186"/>
      <c r="G210" s="186"/>
    </row>
    <row r="211">
      <c r="F211" s="186"/>
      <c r="G211" s="186"/>
    </row>
    <row r="212">
      <c r="F212" s="186"/>
      <c r="G212" s="186"/>
    </row>
    <row r="213">
      <c r="F213" s="186"/>
      <c r="G213" s="186"/>
    </row>
    <row r="214">
      <c r="F214" s="186"/>
      <c r="G214" s="186"/>
    </row>
    <row r="215">
      <c r="F215" s="186"/>
      <c r="G215" s="186"/>
    </row>
    <row r="216">
      <c r="F216" s="186"/>
      <c r="G216" s="186"/>
    </row>
    <row r="217">
      <c r="F217" s="186"/>
      <c r="G217" s="186"/>
    </row>
    <row r="218">
      <c r="F218" s="186"/>
      <c r="G218" s="186"/>
    </row>
    <row r="219">
      <c r="F219" s="186"/>
      <c r="G219" s="186"/>
    </row>
    <row r="220">
      <c r="F220" s="186"/>
      <c r="G220" s="186"/>
    </row>
    <row r="221">
      <c r="F221" s="186"/>
      <c r="G221" s="186"/>
    </row>
    <row r="222">
      <c r="F222" s="186"/>
      <c r="G222" s="186"/>
    </row>
    <row r="223">
      <c r="F223" s="186"/>
      <c r="G223" s="186"/>
    </row>
    <row r="224">
      <c r="F224" s="186"/>
      <c r="G224" s="186"/>
    </row>
    <row r="225">
      <c r="F225" s="186"/>
      <c r="G225" s="186"/>
    </row>
    <row r="226">
      <c r="F226" s="186"/>
      <c r="G226" s="186"/>
    </row>
    <row r="227">
      <c r="F227" s="186"/>
      <c r="G227" s="186"/>
    </row>
    <row r="228">
      <c r="F228" s="186"/>
      <c r="G228" s="186"/>
    </row>
    <row r="229">
      <c r="F229" s="186"/>
      <c r="G229" s="186"/>
    </row>
    <row r="230">
      <c r="F230" s="186"/>
      <c r="G230" s="186"/>
    </row>
    <row r="231">
      <c r="F231" s="186"/>
      <c r="G231" s="186"/>
    </row>
    <row r="232">
      <c r="F232" s="186"/>
      <c r="G232" s="186"/>
    </row>
    <row r="233">
      <c r="F233" s="186"/>
      <c r="G233" s="186"/>
    </row>
    <row r="234">
      <c r="F234" s="186"/>
      <c r="G234" s="186"/>
    </row>
    <row r="235">
      <c r="F235" s="186"/>
      <c r="G235" s="186"/>
    </row>
    <row r="236">
      <c r="F236" s="186"/>
      <c r="G236" s="186"/>
    </row>
    <row r="237">
      <c r="F237" s="186"/>
      <c r="G237" s="186"/>
    </row>
    <row r="238">
      <c r="F238" s="186"/>
      <c r="G238" s="186"/>
    </row>
    <row r="239">
      <c r="F239" s="186"/>
      <c r="G239" s="186"/>
    </row>
    <row r="240">
      <c r="F240" s="186"/>
      <c r="G240" s="186"/>
    </row>
    <row r="241">
      <c r="F241" s="186"/>
      <c r="G241" s="186"/>
    </row>
    <row r="242">
      <c r="F242" s="186"/>
      <c r="G242" s="186"/>
    </row>
    <row r="243">
      <c r="F243" s="186"/>
      <c r="G243" s="186"/>
    </row>
    <row r="244">
      <c r="F244" s="186"/>
      <c r="G244" s="186"/>
    </row>
    <row r="245">
      <c r="F245" s="186"/>
      <c r="G245" s="186"/>
    </row>
    <row r="246">
      <c r="F246" s="186"/>
      <c r="G246" s="186"/>
    </row>
    <row r="247">
      <c r="F247" s="186"/>
      <c r="G247" s="186"/>
    </row>
    <row r="248">
      <c r="F248" s="186"/>
      <c r="G248" s="186"/>
    </row>
    <row r="249">
      <c r="F249" s="186"/>
      <c r="G249" s="186"/>
    </row>
    <row r="250">
      <c r="F250" s="186"/>
      <c r="G250" s="186"/>
    </row>
    <row r="251">
      <c r="F251" s="186"/>
      <c r="G251" s="186"/>
    </row>
    <row r="252">
      <c r="F252" s="186"/>
      <c r="G252" s="186"/>
    </row>
    <row r="253">
      <c r="F253" s="186"/>
      <c r="G253" s="186"/>
    </row>
    <row r="254">
      <c r="F254" s="186"/>
      <c r="G254" s="186"/>
    </row>
    <row r="255">
      <c r="F255" s="186"/>
      <c r="G255" s="186"/>
    </row>
    <row r="256">
      <c r="F256" s="186"/>
      <c r="G256" s="186"/>
    </row>
    <row r="257">
      <c r="F257" s="186"/>
      <c r="G257" s="186"/>
    </row>
    <row r="258">
      <c r="F258" s="186"/>
      <c r="G258" s="186"/>
    </row>
    <row r="259">
      <c r="F259" s="186"/>
      <c r="G259" s="186"/>
    </row>
    <row r="260">
      <c r="F260" s="186"/>
      <c r="G260" s="186"/>
    </row>
    <row r="261">
      <c r="F261" s="186"/>
      <c r="G261" s="186"/>
    </row>
    <row r="262">
      <c r="F262" s="186"/>
      <c r="G262" s="186"/>
    </row>
    <row r="263">
      <c r="F263" s="186"/>
      <c r="G263" s="186"/>
    </row>
    <row r="264">
      <c r="F264" s="186"/>
      <c r="G264" s="186"/>
    </row>
    <row r="265">
      <c r="F265" s="186"/>
      <c r="G265" s="186"/>
    </row>
    <row r="266">
      <c r="F266" s="186"/>
      <c r="G266" s="186"/>
    </row>
    <row r="267">
      <c r="F267" s="186"/>
      <c r="G267" s="186"/>
    </row>
    <row r="268">
      <c r="F268" s="186"/>
      <c r="G268" s="186"/>
    </row>
    <row r="269">
      <c r="F269" s="186"/>
      <c r="G269" s="186"/>
    </row>
    <row r="270">
      <c r="F270" s="186"/>
      <c r="G270" s="186"/>
    </row>
    <row r="271">
      <c r="F271" s="186"/>
      <c r="G271" s="186"/>
    </row>
    <row r="272">
      <c r="F272" s="186"/>
      <c r="G272" s="186"/>
    </row>
    <row r="273">
      <c r="F273" s="186"/>
      <c r="G273" s="186"/>
    </row>
    <row r="274">
      <c r="F274" s="186"/>
      <c r="G274" s="186"/>
    </row>
    <row r="275">
      <c r="F275" s="186"/>
      <c r="G275" s="186"/>
    </row>
    <row r="276">
      <c r="F276" s="186"/>
      <c r="G276" s="186"/>
    </row>
    <row r="277">
      <c r="F277" s="186"/>
      <c r="G277" s="186"/>
    </row>
    <row r="278">
      <c r="F278" s="186"/>
      <c r="G278" s="186"/>
    </row>
    <row r="279">
      <c r="F279" s="186"/>
      <c r="G279" s="186"/>
    </row>
    <row r="280">
      <c r="F280" s="186"/>
      <c r="G280" s="186"/>
    </row>
    <row r="281">
      <c r="F281" s="186"/>
      <c r="G281" s="186"/>
    </row>
    <row r="282">
      <c r="F282" s="186"/>
      <c r="G282" s="186"/>
    </row>
    <row r="283">
      <c r="F283" s="186"/>
      <c r="G283" s="186"/>
    </row>
    <row r="284">
      <c r="F284" s="186"/>
      <c r="G284" s="186"/>
    </row>
    <row r="285">
      <c r="F285" s="186"/>
      <c r="G285" s="186"/>
    </row>
    <row r="286">
      <c r="F286" s="186"/>
      <c r="G286" s="186"/>
    </row>
    <row r="287">
      <c r="F287" s="186"/>
      <c r="G287" s="186"/>
    </row>
    <row r="288">
      <c r="F288" s="186"/>
      <c r="G288" s="186"/>
    </row>
    <row r="289">
      <c r="F289" s="186"/>
      <c r="G289" s="186"/>
    </row>
    <row r="290">
      <c r="F290" s="186"/>
      <c r="G290" s="186"/>
    </row>
    <row r="291">
      <c r="F291" s="186"/>
      <c r="G291" s="186"/>
    </row>
    <row r="292">
      <c r="F292" s="186"/>
      <c r="G292" s="186"/>
    </row>
    <row r="293">
      <c r="F293" s="186"/>
      <c r="G293" s="186"/>
    </row>
    <row r="294">
      <c r="F294" s="186"/>
      <c r="G294" s="186"/>
    </row>
    <row r="295">
      <c r="F295" s="186"/>
      <c r="G295" s="186"/>
    </row>
    <row r="296">
      <c r="F296" s="186"/>
      <c r="G296" s="186"/>
    </row>
    <row r="297">
      <c r="F297" s="186"/>
      <c r="G297" s="186"/>
    </row>
    <row r="298">
      <c r="F298" s="186"/>
      <c r="G298" s="186"/>
    </row>
    <row r="299">
      <c r="F299" s="186"/>
      <c r="G299" s="186"/>
    </row>
    <row r="300">
      <c r="F300" s="186"/>
      <c r="G300" s="186"/>
    </row>
    <row r="301">
      <c r="F301" s="186"/>
      <c r="G301" s="186"/>
    </row>
    <row r="302">
      <c r="F302" s="186"/>
      <c r="G302" s="186"/>
    </row>
    <row r="303">
      <c r="F303" s="186"/>
      <c r="G303" s="186"/>
    </row>
    <row r="304">
      <c r="F304" s="186"/>
      <c r="G304" s="186"/>
    </row>
    <row r="305">
      <c r="F305" s="186"/>
      <c r="G305" s="186"/>
    </row>
    <row r="306">
      <c r="F306" s="186"/>
      <c r="G306" s="186"/>
    </row>
    <row r="307">
      <c r="F307" s="186"/>
      <c r="G307" s="186"/>
    </row>
    <row r="308">
      <c r="F308" s="186"/>
      <c r="G308" s="186"/>
    </row>
    <row r="309">
      <c r="F309" s="186"/>
      <c r="G309" s="186"/>
    </row>
    <row r="310">
      <c r="F310" s="186"/>
      <c r="G310" s="186"/>
    </row>
    <row r="311">
      <c r="F311" s="186"/>
      <c r="G311" s="186"/>
    </row>
    <row r="312">
      <c r="F312" s="186"/>
      <c r="G312" s="186"/>
    </row>
    <row r="313">
      <c r="F313" s="186"/>
      <c r="G313" s="186"/>
    </row>
    <row r="314">
      <c r="F314" s="186"/>
      <c r="G314" s="186"/>
    </row>
    <row r="315">
      <c r="F315" s="186"/>
      <c r="G315" s="186"/>
    </row>
    <row r="316">
      <c r="F316" s="186"/>
      <c r="G316" s="186"/>
    </row>
    <row r="317">
      <c r="F317" s="186"/>
      <c r="G317" s="186"/>
    </row>
    <row r="318">
      <c r="F318" s="186"/>
      <c r="G318" s="186"/>
    </row>
    <row r="319">
      <c r="F319" s="186"/>
      <c r="G319" s="186"/>
    </row>
    <row r="320">
      <c r="F320" s="186"/>
      <c r="G320" s="186"/>
    </row>
    <row r="321">
      <c r="F321" s="186"/>
      <c r="G321" s="186"/>
    </row>
    <row r="322">
      <c r="F322" s="186"/>
      <c r="G322" s="186"/>
    </row>
    <row r="323">
      <c r="F323" s="186"/>
      <c r="G323" s="186"/>
    </row>
    <row r="324">
      <c r="F324" s="186"/>
      <c r="G324" s="186"/>
    </row>
    <row r="325">
      <c r="F325" s="186"/>
      <c r="G325" s="186"/>
    </row>
    <row r="326">
      <c r="F326" s="186"/>
      <c r="G326" s="186"/>
    </row>
    <row r="327">
      <c r="F327" s="186"/>
      <c r="G327" s="186"/>
    </row>
    <row r="328">
      <c r="F328" s="186"/>
      <c r="G328" s="186"/>
    </row>
    <row r="329">
      <c r="F329" s="186"/>
      <c r="G329" s="186"/>
    </row>
    <row r="330">
      <c r="F330" s="186"/>
      <c r="G330" s="186"/>
    </row>
    <row r="331">
      <c r="F331" s="186"/>
      <c r="G331" s="186"/>
    </row>
    <row r="332">
      <c r="F332" s="186"/>
      <c r="G332" s="186"/>
    </row>
    <row r="333">
      <c r="F333" s="186"/>
      <c r="G333" s="186"/>
    </row>
    <row r="334">
      <c r="F334" s="186"/>
      <c r="G334" s="186"/>
    </row>
    <row r="335">
      <c r="F335" s="186"/>
      <c r="G335" s="186"/>
    </row>
    <row r="336">
      <c r="F336" s="186"/>
      <c r="G336" s="186"/>
    </row>
    <row r="337">
      <c r="F337" s="186"/>
      <c r="G337" s="186"/>
    </row>
    <row r="338">
      <c r="F338" s="186"/>
      <c r="G338" s="186"/>
    </row>
    <row r="339">
      <c r="F339" s="186"/>
      <c r="G339" s="186"/>
    </row>
    <row r="340">
      <c r="F340" s="186"/>
      <c r="G340" s="186"/>
    </row>
    <row r="341">
      <c r="F341" s="186"/>
      <c r="G341" s="186"/>
    </row>
    <row r="342">
      <c r="F342" s="186"/>
      <c r="G342" s="186"/>
    </row>
    <row r="343">
      <c r="F343" s="186"/>
      <c r="G343" s="186"/>
    </row>
    <row r="344">
      <c r="F344" s="186"/>
      <c r="G344" s="186"/>
    </row>
    <row r="345">
      <c r="F345" s="186"/>
      <c r="G345" s="186"/>
    </row>
    <row r="346">
      <c r="F346" s="186"/>
      <c r="G346" s="186"/>
    </row>
    <row r="347">
      <c r="F347" s="186"/>
      <c r="G347" s="186"/>
    </row>
    <row r="348">
      <c r="F348" s="186"/>
      <c r="G348" s="186"/>
    </row>
    <row r="349">
      <c r="F349" s="186"/>
      <c r="G349" s="186"/>
    </row>
    <row r="350">
      <c r="F350" s="186"/>
      <c r="G350" s="186"/>
    </row>
    <row r="351">
      <c r="F351" s="186"/>
      <c r="G351" s="186"/>
    </row>
    <row r="352">
      <c r="F352" s="186"/>
      <c r="G352" s="186"/>
    </row>
    <row r="353">
      <c r="F353" s="186"/>
      <c r="G353" s="186"/>
    </row>
    <row r="354">
      <c r="F354" s="186"/>
      <c r="G354" s="186"/>
    </row>
    <row r="355">
      <c r="F355" s="186"/>
      <c r="G355" s="186"/>
    </row>
    <row r="356">
      <c r="F356" s="186"/>
      <c r="G356" s="186"/>
    </row>
    <row r="357">
      <c r="F357" s="186"/>
      <c r="G357" s="186"/>
    </row>
    <row r="358">
      <c r="F358" s="186"/>
      <c r="G358" s="186"/>
    </row>
    <row r="359">
      <c r="F359" s="186"/>
      <c r="G359" s="186"/>
    </row>
    <row r="360">
      <c r="F360" s="186"/>
      <c r="G360" s="186"/>
    </row>
    <row r="361">
      <c r="F361" s="186"/>
      <c r="G361" s="186"/>
    </row>
    <row r="362">
      <c r="F362" s="186"/>
      <c r="G362" s="186"/>
    </row>
    <row r="363">
      <c r="F363" s="186"/>
      <c r="G363" s="186"/>
    </row>
    <row r="364">
      <c r="F364" s="186"/>
      <c r="G364" s="186"/>
    </row>
    <row r="365">
      <c r="F365" s="186"/>
      <c r="G365" s="186"/>
    </row>
    <row r="366">
      <c r="F366" s="186"/>
      <c r="G366" s="186"/>
    </row>
    <row r="367">
      <c r="F367" s="186"/>
      <c r="G367" s="186"/>
    </row>
    <row r="368">
      <c r="F368" s="186"/>
      <c r="G368" s="186"/>
    </row>
    <row r="369">
      <c r="F369" s="186"/>
      <c r="G369" s="186"/>
    </row>
    <row r="370">
      <c r="F370" s="186"/>
      <c r="G370" s="186"/>
    </row>
    <row r="371">
      <c r="F371" s="186"/>
      <c r="G371" s="186"/>
    </row>
    <row r="372">
      <c r="F372" s="186"/>
      <c r="G372" s="186"/>
    </row>
    <row r="373">
      <c r="F373" s="186"/>
      <c r="G373" s="186"/>
    </row>
    <row r="374">
      <c r="F374" s="186"/>
      <c r="G374" s="186"/>
    </row>
    <row r="375">
      <c r="F375" s="186"/>
      <c r="G375" s="186"/>
    </row>
    <row r="376">
      <c r="F376" s="186"/>
      <c r="G376" s="186"/>
    </row>
    <row r="377">
      <c r="F377" s="186"/>
      <c r="G377" s="186"/>
    </row>
    <row r="378">
      <c r="F378" s="186"/>
      <c r="G378" s="186"/>
    </row>
    <row r="379">
      <c r="F379" s="186"/>
      <c r="G379" s="186"/>
    </row>
    <row r="380">
      <c r="F380" s="186"/>
      <c r="G380" s="186"/>
    </row>
    <row r="381">
      <c r="F381" s="186"/>
      <c r="G381" s="186"/>
    </row>
    <row r="382">
      <c r="F382" s="186"/>
      <c r="G382" s="186"/>
    </row>
    <row r="383">
      <c r="F383" s="186"/>
      <c r="G383" s="186"/>
    </row>
    <row r="384">
      <c r="F384" s="186"/>
      <c r="G384" s="186"/>
    </row>
    <row r="385">
      <c r="F385" s="186"/>
      <c r="G385" s="186"/>
    </row>
    <row r="386">
      <c r="F386" s="186"/>
      <c r="G386" s="186"/>
    </row>
    <row r="387">
      <c r="F387" s="186"/>
      <c r="G387" s="186"/>
    </row>
    <row r="388">
      <c r="F388" s="186"/>
      <c r="G388" s="186"/>
    </row>
    <row r="389">
      <c r="F389" s="186"/>
      <c r="G389" s="186"/>
    </row>
    <row r="390">
      <c r="F390" s="186"/>
      <c r="G390" s="186"/>
    </row>
    <row r="391">
      <c r="F391" s="186"/>
      <c r="G391" s="186"/>
    </row>
    <row r="392">
      <c r="F392" s="186"/>
      <c r="G392" s="186"/>
    </row>
    <row r="393">
      <c r="F393" s="186"/>
      <c r="G393" s="186"/>
    </row>
    <row r="394">
      <c r="F394" s="186"/>
      <c r="G394" s="186"/>
    </row>
    <row r="395">
      <c r="F395" s="186"/>
      <c r="G395" s="186"/>
    </row>
    <row r="396">
      <c r="F396" s="186"/>
      <c r="G396" s="186"/>
    </row>
    <row r="397">
      <c r="F397" s="186"/>
      <c r="G397" s="186"/>
    </row>
    <row r="398">
      <c r="F398" s="186"/>
      <c r="G398" s="186"/>
    </row>
    <row r="399">
      <c r="F399" s="186"/>
      <c r="G399" s="186"/>
    </row>
    <row r="400">
      <c r="F400" s="186"/>
      <c r="G400" s="186"/>
    </row>
    <row r="401">
      <c r="F401" s="186"/>
      <c r="G401" s="186"/>
    </row>
    <row r="402">
      <c r="F402" s="186"/>
      <c r="G402" s="186"/>
    </row>
    <row r="403">
      <c r="F403" s="186"/>
      <c r="G403" s="186"/>
    </row>
    <row r="404">
      <c r="F404" s="186"/>
      <c r="G404" s="186"/>
    </row>
    <row r="405">
      <c r="F405" s="186"/>
      <c r="G405" s="186"/>
    </row>
    <row r="406">
      <c r="F406" s="186"/>
      <c r="G406" s="186"/>
    </row>
    <row r="407">
      <c r="F407" s="186"/>
      <c r="G407" s="186"/>
    </row>
    <row r="408">
      <c r="F408" s="186"/>
      <c r="G408" s="186"/>
    </row>
    <row r="409">
      <c r="F409" s="186"/>
      <c r="G409" s="186"/>
    </row>
    <row r="410">
      <c r="F410" s="186"/>
      <c r="G410" s="186"/>
    </row>
    <row r="411">
      <c r="F411" s="186"/>
      <c r="G411" s="186"/>
    </row>
    <row r="412">
      <c r="F412" s="186"/>
      <c r="G412" s="186"/>
    </row>
    <row r="413">
      <c r="F413" s="186"/>
      <c r="G413" s="186"/>
    </row>
    <row r="414">
      <c r="F414" s="186"/>
      <c r="G414" s="186"/>
    </row>
    <row r="415">
      <c r="F415" s="186"/>
      <c r="G415" s="186"/>
    </row>
    <row r="416">
      <c r="F416" s="186"/>
      <c r="G416" s="186"/>
    </row>
    <row r="417">
      <c r="F417" s="186"/>
      <c r="G417" s="186"/>
    </row>
    <row r="418">
      <c r="F418" s="186"/>
      <c r="G418" s="186"/>
    </row>
    <row r="419">
      <c r="F419" s="186"/>
      <c r="G419" s="186"/>
    </row>
    <row r="420">
      <c r="F420" s="186"/>
      <c r="G420" s="186"/>
    </row>
    <row r="421">
      <c r="F421" s="186"/>
      <c r="G421" s="186"/>
    </row>
    <row r="422">
      <c r="F422" s="186"/>
      <c r="G422" s="186"/>
    </row>
    <row r="423">
      <c r="F423" s="186"/>
      <c r="G423" s="186"/>
    </row>
    <row r="424">
      <c r="F424" s="186"/>
      <c r="G424" s="186"/>
    </row>
    <row r="425">
      <c r="F425" s="186"/>
      <c r="G425" s="186"/>
    </row>
    <row r="426">
      <c r="F426" s="186"/>
      <c r="G426" s="186"/>
    </row>
    <row r="427">
      <c r="F427" s="186"/>
      <c r="G427" s="186"/>
    </row>
    <row r="428">
      <c r="F428" s="186"/>
      <c r="G428" s="186"/>
    </row>
    <row r="429">
      <c r="F429" s="186"/>
      <c r="G429" s="186"/>
    </row>
    <row r="430">
      <c r="F430" s="186"/>
      <c r="G430" s="186"/>
    </row>
    <row r="431">
      <c r="F431" s="186"/>
      <c r="G431" s="186"/>
    </row>
    <row r="432">
      <c r="F432" s="186"/>
      <c r="G432" s="186"/>
    </row>
    <row r="433">
      <c r="F433" s="186"/>
      <c r="G433" s="186"/>
    </row>
    <row r="434">
      <c r="F434" s="186"/>
      <c r="G434" s="186"/>
    </row>
    <row r="435">
      <c r="F435" s="186"/>
      <c r="G435" s="186"/>
    </row>
    <row r="436">
      <c r="F436" s="186"/>
      <c r="G436" s="186"/>
    </row>
    <row r="437">
      <c r="F437" s="186"/>
      <c r="G437" s="186"/>
    </row>
    <row r="438">
      <c r="F438" s="186"/>
      <c r="G438" s="186"/>
    </row>
    <row r="439">
      <c r="F439" s="186"/>
      <c r="G439" s="186"/>
    </row>
    <row r="440">
      <c r="F440" s="186"/>
      <c r="G440" s="186"/>
    </row>
    <row r="441">
      <c r="F441" s="186"/>
      <c r="G441" s="186"/>
    </row>
    <row r="442">
      <c r="F442" s="186"/>
      <c r="G442" s="186"/>
    </row>
    <row r="443">
      <c r="F443" s="186"/>
      <c r="G443" s="186"/>
    </row>
    <row r="444">
      <c r="F444" s="186"/>
      <c r="G444" s="186"/>
    </row>
    <row r="445">
      <c r="F445" s="186"/>
      <c r="G445" s="186"/>
    </row>
    <row r="446">
      <c r="F446" s="186"/>
      <c r="G446" s="186"/>
    </row>
    <row r="447">
      <c r="F447" s="186"/>
      <c r="G447" s="186"/>
    </row>
    <row r="448">
      <c r="F448" s="186"/>
      <c r="G448" s="186"/>
    </row>
    <row r="449">
      <c r="F449" s="186"/>
      <c r="G449" s="186"/>
    </row>
    <row r="450">
      <c r="F450" s="186"/>
      <c r="G450" s="186"/>
    </row>
    <row r="451">
      <c r="F451" s="186"/>
      <c r="G451" s="186"/>
    </row>
    <row r="452">
      <c r="F452" s="186"/>
      <c r="G452" s="186"/>
    </row>
    <row r="453">
      <c r="F453" s="186"/>
      <c r="G453" s="186"/>
    </row>
    <row r="454">
      <c r="F454" s="186"/>
      <c r="G454" s="186"/>
    </row>
    <row r="455">
      <c r="F455" s="186"/>
      <c r="G455" s="186"/>
    </row>
    <row r="456">
      <c r="F456" s="186"/>
      <c r="G456" s="186"/>
    </row>
    <row r="457">
      <c r="F457" s="186"/>
      <c r="G457" s="186"/>
    </row>
    <row r="458">
      <c r="F458" s="186"/>
      <c r="G458" s="186"/>
    </row>
    <row r="459">
      <c r="F459" s="186"/>
      <c r="G459" s="186"/>
    </row>
    <row r="460">
      <c r="F460" s="186"/>
      <c r="G460" s="186"/>
    </row>
    <row r="461">
      <c r="F461" s="186"/>
      <c r="G461" s="186"/>
    </row>
    <row r="462">
      <c r="F462" s="186"/>
      <c r="G462" s="186"/>
    </row>
    <row r="463">
      <c r="F463" s="186"/>
      <c r="G463" s="186"/>
    </row>
    <row r="464">
      <c r="F464" s="186"/>
      <c r="G464" s="186"/>
    </row>
    <row r="465">
      <c r="F465" s="186"/>
      <c r="G465" s="186"/>
    </row>
    <row r="466">
      <c r="F466" s="186"/>
      <c r="G466" s="186"/>
    </row>
    <row r="467">
      <c r="F467" s="186"/>
      <c r="G467" s="186"/>
    </row>
    <row r="468">
      <c r="F468" s="186"/>
      <c r="G468" s="186"/>
    </row>
    <row r="469">
      <c r="F469" s="186"/>
      <c r="G469" s="186"/>
    </row>
    <row r="470">
      <c r="F470" s="186"/>
      <c r="G470" s="186"/>
    </row>
    <row r="471">
      <c r="F471" s="186"/>
      <c r="G471" s="186"/>
    </row>
    <row r="472">
      <c r="F472" s="186"/>
      <c r="G472" s="186"/>
    </row>
    <row r="473">
      <c r="F473" s="186"/>
      <c r="G473" s="186"/>
    </row>
    <row r="474">
      <c r="F474" s="186"/>
      <c r="G474" s="186"/>
    </row>
    <row r="475">
      <c r="F475" s="186"/>
      <c r="G475" s="186"/>
    </row>
    <row r="476">
      <c r="F476" s="186"/>
      <c r="G476" s="186"/>
    </row>
    <row r="477">
      <c r="F477" s="186"/>
      <c r="G477" s="186"/>
    </row>
    <row r="478">
      <c r="F478" s="186"/>
      <c r="G478" s="186"/>
    </row>
    <row r="479">
      <c r="F479" s="186"/>
      <c r="G479" s="186"/>
    </row>
    <row r="480">
      <c r="F480" s="186"/>
      <c r="G480" s="186"/>
    </row>
    <row r="481">
      <c r="F481" s="186"/>
      <c r="G481" s="186"/>
    </row>
    <row r="482">
      <c r="F482" s="186"/>
      <c r="G482" s="186"/>
    </row>
    <row r="483">
      <c r="F483" s="186"/>
      <c r="G483" s="186"/>
    </row>
    <row r="484">
      <c r="F484" s="186"/>
      <c r="G484" s="186"/>
    </row>
    <row r="485">
      <c r="F485" s="186"/>
      <c r="G485" s="186"/>
    </row>
    <row r="486">
      <c r="F486" s="186"/>
      <c r="G486" s="186"/>
    </row>
    <row r="487">
      <c r="F487" s="186"/>
      <c r="G487" s="186"/>
    </row>
    <row r="488">
      <c r="F488" s="186"/>
      <c r="G488" s="186"/>
    </row>
    <row r="489">
      <c r="F489" s="186"/>
      <c r="G489" s="186"/>
    </row>
    <row r="490">
      <c r="F490" s="186"/>
      <c r="G490" s="186"/>
    </row>
    <row r="491">
      <c r="F491" s="186"/>
      <c r="G491" s="186"/>
    </row>
    <row r="492">
      <c r="F492" s="186"/>
      <c r="G492" s="186"/>
    </row>
    <row r="493">
      <c r="F493" s="186"/>
      <c r="G493" s="186"/>
    </row>
    <row r="494">
      <c r="F494" s="186"/>
      <c r="G494" s="186"/>
    </row>
    <row r="495">
      <c r="F495" s="186"/>
      <c r="G495" s="186"/>
    </row>
    <row r="496">
      <c r="F496" s="186"/>
      <c r="G496" s="186"/>
    </row>
    <row r="497">
      <c r="F497" s="186"/>
      <c r="G497" s="186"/>
    </row>
    <row r="498">
      <c r="F498" s="186"/>
      <c r="G498" s="186"/>
    </row>
    <row r="499">
      <c r="F499" s="186"/>
      <c r="G499" s="186"/>
    </row>
    <row r="500">
      <c r="F500" s="186"/>
      <c r="G500" s="186"/>
    </row>
    <row r="501">
      <c r="F501" s="186"/>
      <c r="G501" s="186"/>
    </row>
    <row r="502">
      <c r="F502" s="186"/>
      <c r="G502" s="186"/>
    </row>
    <row r="503">
      <c r="F503" s="186"/>
      <c r="G503" s="186"/>
    </row>
    <row r="504">
      <c r="F504" s="186"/>
      <c r="G504" s="186"/>
    </row>
    <row r="505">
      <c r="F505" s="186"/>
      <c r="G505" s="186"/>
    </row>
    <row r="506">
      <c r="F506" s="186"/>
      <c r="G506" s="186"/>
    </row>
    <row r="507">
      <c r="F507" s="186"/>
      <c r="G507" s="186"/>
    </row>
    <row r="508">
      <c r="F508" s="186"/>
      <c r="G508" s="186"/>
    </row>
    <row r="509">
      <c r="F509" s="186"/>
      <c r="G509" s="186"/>
    </row>
    <row r="510">
      <c r="F510" s="186"/>
      <c r="G510" s="186"/>
    </row>
    <row r="511">
      <c r="F511" s="186"/>
      <c r="G511" s="186"/>
    </row>
    <row r="512">
      <c r="F512" s="186"/>
      <c r="G512" s="186"/>
    </row>
    <row r="513">
      <c r="F513" s="186"/>
      <c r="G513" s="186"/>
    </row>
    <row r="514">
      <c r="F514" s="186"/>
      <c r="G514" s="186"/>
    </row>
    <row r="515">
      <c r="F515" s="186"/>
      <c r="G515" s="186"/>
    </row>
    <row r="516">
      <c r="F516" s="186"/>
      <c r="G516" s="186"/>
    </row>
    <row r="517">
      <c r="F517" s="186"/>
      <c r="G517" s="186"/>
    </row>
    <row r="518">
      <c r="F518" s="186"/>
      <c r="G518" s="186"/>
    </row>
    <row r="519">
      <c r="F519" s="186"/>
      <c r="G519" s="186"/>
    </row>
    <row r="520">
      <c r="F520" s="186"/>
      <c r="G520" s="186"/>
    </row>
    <row r="521">
      <c r="F521" s="186"/>
      <c r="G521" s="186"/>
    </row>
    <row r="522">
      <c r="F522" s="186"/>
      <c r="G522" s="186"/>
    </row>
    <row r="523">
      <c r="F523" s="186"/>
      <c r="G523" s="186"/>
    </row>
    <row r="524">
      <c r="F524" s="186"/>
      <c r="G524" s="186"/>
    </row>
    <row r="525">
      <c r="F525" s="186"/>
      <c r="G525" s="186"/>
    </row>
    <row r="526">
      <c r="F526" s="186"/>
      <c r="G526" s="186"/>
    </row>
    <row r="527">
      <c r="F527" s="186"/>
      <c r="G527" s="186"/>
    </row>
    <row r="528">
      <c r="F528" s="186"/>
      <c r="G528" s="186"/>
    </row>
    <row r="529">
      <c r="F529" s="186"/>
      <c r="G529" s="186"/>
    </row>
    <row r="530">
      <c r="F530" s="186"/>
      <c r="G530" s="186"/>
    </row>
    <row r="531">
      <c r="F531" s="186"/>
      <c r="G531" s="186"/>
    </row>
    <row r="532">
      <c r="F532" s="186"/>
      <c r="G532" s="186"/>
    </row>
    <row r="533">
      <c r="F533" s="186"/>
      <c r="G533" s="186"/>
    </row>
    <row r="534">
      <c r="F534" s="186"/>
      <c r="G534" s="186"/>
    </row>
    <row r="535">
      <c r="F535" s="186"/>
      <c r="G535" s="186"/>
    </row>
    <row r="536">
      <c r="F536" s="186"/>
      <c r="G536" s="186"/>
    </row>
    <row r="537">
      <c r="F537" s="186"/>
      <c r="G537" s="186"/>
    </row>
    <row r="538">
      <c r="F538" s="186"/>
      <c r="G538" s="186"/>
    </row>
    <row r="539">
      <c r="F539" s="186"/>
      <c r="G539" s="186"/>
    </row>
    <row r="540">
      <c r="F540" s="186"/>
      <c r="G540" s="186"/>
    </row>
    <row r="541">
      <c r="F541" s="186"/>
      <c r="G541" s="186"/>
    </row>
    <row r="542">
      <c r="F542" s="186"/>
      <c r="G542" s="186"/>
    </row>
    <row r="543">
      <c r="F543" s="186"/>
      <c r="G543" s="186"/>
    </row>
    <row r="544">
      <c r="F544" s="186"/>
      <c r="G544" s="186"/>
    </row>
    <row r="545">
      <c r="F545" s="186"/>
      <c r="G545" s="186"/>
    </row>
    <row r="546">
      <c r="F546" s="186"/>
      <c r="G546" s="186"/>
    </row>
    <row r="547">
      <c r="F547" s="186"/>
      <c r="G547" s="186"/>
    </row>
    <row r="548">
      <c r="F548" s="186"/>
      <c r="G548" s="186"/>
    </row>
    <row r="549">
      <c r="F549" s="186"/>
      <c r="G549" s="186"/>
    </row>
    <row r="550">
      <c r="F550" s="186"/>
      <c r="G550" s="186"/>
    </row>
    <row r="551">
      <c r="F551" s="186"/>
      <c r="G551" s="186"/>
    </row>
    <row r="552">
      <c r="F552" s="186"/>
      <c r="G552" s="186"/>
    </row>
    <row r="553">
      <c r="F553" s="186"/>
      <c r="G553" s="186"/>
    </row>
    <row r="554">
      <c r="F554" s="186"/>
      <c r="G554" s="186"/>
    </row>
    <row r="555">
      <c r="F555" s="186"/>
      <c r="G555" s="186"/>
    </row>
    <row r="556">
      <c r="F556" s="186"/>
      <c r="G556" s="186"/>
    </row>
    <row r="557">
      <c r="F557" s="186"/>
      <c r="G557" s="186"/>
    </row>
    <row r="558">
      <c r="F558" s="186"/>
      <c r="G558" s="186"/>
    </row>
    <row r="559">
      <c r="F559" s="186"/>
      <c r="G559" s="186"/>
    </row>
    <row r="560">
      <c r="F560" s="186"/>
      <c r="G560" s="186"/>
    </row>
    <row r="561">
      <c r="F561" s="186"/>
      <c r="G561" s="186"/>
    </row>
    <row r="562">
      <c r="F562" s="186"/>
      <c r="G562" s="186"/>
    </row>
    <row r="563">
      <c r="F563" s="186"/>
      <c r="G563" s="186"/>
    </row>
    <row r="564">
      <c r="F564" s="186"/>
      <c r="G564" s="186"/>
    </row>
    <row r="565">
      <c r="F565" s="186"/>
      <c r="G565" s="186"/>
    </row>
    <row r="566">
      <c r="F566" s="186"/>
      <c r="G566" s="186"/>
    </row>
    <row r="567">
      <c r="F567" s="186"/>
      <c r="G567" s="186"/>
    </row>
    <row r="568">
      <c r="F568" s="186"/>
      <c r="G568" s="186"/>
    </row>
    <row r="569">
      <c r="F569" s="186"/>
      <c r="G569" s="186"/>
    </row>
    <row r="570">
      <c r="F570" s="186"/>
      <c r="G570" s="186"/>
    </row>
    <row r="571">
      <c r="F571" s="186"/>
      <c r="G571" s="186"/>
    </row>
    <row r="572">
      <c r="F572" s="186"/>
      <c r="G572" s="186"/>
    </row>
    <row r="573">
      <c r="F573" s="186"/>
      <c r="G573" s="186"/>
    </row>
    <row r="574">
      <c r="F574" s="186"/>
      <c r="G574" s="186"/>
    </row>
    <row r="575">
      <c r="F575" s="186"/>
      <c r="G575" s="186"/>
    </row>
    <row r="576">
      <c r="F576" s="186"/>
      <c r="G576" s="186"/>
    </row>
    <row r="577">
      <c r="F577" s="186"/>
      <c r="G577" s="186"/>
    </row>
    <row r="578">
      <c r="F578" s="186"/>
      <c r="G578" s="186"/>
    </row>
    <row r="579">
      <c r="F579" s="186"/>
      <c r="G579" s="186"/>
    </row>
    <row r="580">
      <c r="F580" s="186"/>
      <c r="G580" s="186"/>
    </row>
    <row r="581">
      <c r="F581" s="186"/>
      <c r="G581" s="186"/>
    </row>
    <row r="582">
      <c r="F582" s="186"/>
      <c r="G582" s="186"/>
    </row>
    <row r="583">
      <c r="F583" s="186"/>
      <c r="G583" s="186"/>
    </row>
    <row r="584">
      <c r="F584" s="186"/>
      <c r="G584" s="186"/>
    </row>
    <row r="585">
      <c r="F585" s="186"/>
      <c r="G585" s="186"/>
    </row>
    <row r="586">
      <c r="F586" s="186"/>
      <c r="G586" s="186"/>
    </row>
    <row r="587">
      <c r="F587" s="186"/>
      <c r="G587" s="186"/>
    </row>
    <row r="588">
      <c r="F588" s="186"/>
      <c r="G588" s="186"/>
    </row>
    <row r="589">
      <c r="F589" s="186"/>
      <c r="G589" s="186"/>
    </row>
    <row r="590">
      <c r="F590" s="186"/>
      <c r="G590" s="186"/>
    </row>
    <row r="591">
      <c r="F591" s="186"/>
      <c r="G591" s="186"/>
    </row>
    <row r="592">
      <c r="F592" s="186"/>
      <c r="G592" s="186"/>
    </row>
    <row r="593">
      <c r="F593" s="186"/>
      <c r="G593" s="186"/>
    </row>
    <row r="594">
      <c r="F594" s="186"/>
      <c r="G594" s="186"/>
    </row>
    <row r="595">
      <c r="F595" s="186"/>
      <c r="G595" s="186"/>
    </row>
    <row r="596">
      <c r="F596" s="186"/>
      <c r="G596" s="186"/>
    </row>
    <row r="597">
      <c r="F597" s="186"/>
      <c r="G597" s="186"/>
    </row>
    <row r="598">
      <c r="F598" s="186"/>
      <c r="G598" s="186"/>
    </row>
    <row r="599">
      <c r="F599" s="186"/>
      <c r="G599" s="186"/>
    </row>
    <row r="600">
      <c r="F600" s="186"/>
      <c r="G600" s="186"/>
    </row>
    <row r="601">
      <c r="F601" s="186"/>
      <c r="G601" s="186"/>
    </row>
    <row r="602">
      <c r="F602" s="186"/>
      <c r="G602" s="186"/>
    </row>
    <row r="603">
      <c r="F603" s="186"/>
      <c r="G603" s="186"/>
    </row>
    <row r="604">
      <c r="F604" s="186"/>
      <c r="G604" s="186"/>
    </row>
    <row r="605">
      <c r="F605" s="186"/>
      <c r="G605" s="186"/>
    </row>
    <row r="606">
      <c r="F606" s="186"/>
      <c r="G606" s="186"/>
    </row>
    <row r="607">
      <c r="F607" s="186"/>
      <c r="G607" s="186"/>
    </row>
    <row r="608">
      <c r="F608" s="186"/>
      <c r="G608" s="186"/>
    </row>
    <row r="609">
      <c r="F609" s="186"/>
      <c r="G609" s="186"/>
    </row>
    <row r="610">
      <c r="F610" s="186"/>
      <c r="G610" s="186"/>
    </row>
    <row r="611">
      <c r="F611" s="186"/>
      <c r="G611" s="186"/>
    </row>
    <row r="612">
      <c r="F612" s="186"/>
      <c r="G612" s="186"/>
    </row>
    <row r="613">
      <c r="F613" s="186"/>
      <c r="G613" s="186"/>
    </row>
    <row r="614">
      <c r="F614" s="186"/>
      <c r="G614" s="186"/>
    </row>
    <row r="615">
      <c r="F615" s="186"/>
      <c r="G615" s="186"/>
    </row>
    <row r="616">
      <c r="F616" s="186"/>
      <c r="G616" s="186"/>
    </row>
    <row r="617">
      <c r="F617" s="186"/>
      <c r="G617" s="186"/>
    </row>
    <row r="618">
      <c r="F618" s="186"/>
      <c r="G618" s="186"/>
    </row>
    <row r="619">
      <c r="F619" s="186"/>
      <c r="G619" s="186"/>
    </row>
    <row r="620">
      <c r="F620" s="186"/>
      <c r="G620" s="186"/>
    </row>
    <row r="621">
      <c r="F621" s="186"/>
      <c r="G621" s="186"/>
    </row>
    <row r="622">
      <c r="F622" s="186"/>
      <c r="G622" s="186"/>
    </row>
    <row r="623">
      <c r="F623" s="186"/>
      <c r="G623" s="186"/>
    </row>
    <row r="624">
      <c r="F624" s="186"/>
      <c r="G624" s="186"/>
    </row>
    <row r="625">
      <c r="F625" s="186"/>
      <c r="G625" s="186"/>
    </row>
    <row r="626">
      <c r="F626" s="186"/>
      <c r="G626" s="186"/>
    </row>
    <row r="627">
      <c r="F627" s="186"/>
      <c r="G627" s="186"/>
    </row>
    <row r="628">
      <c r="F628" s="186"/>
      <c r="G628" s="186"/>
    </row>
    <row r="629">
      <c r="F629" s="186"/>
      <c r="G629" s="186"/>
    </row>
    <row r="630">
      <c r="F630" s="186"/>
      <c r="G630" s="186"/>
    </row>
    <row r="631">
      <c r="F631" s="186"/>
      <c r="G631" s="186"/>
    </row>
    <row r="632">
      <c r="F632" s="186"/>
      <c r="G632" s="186"/>
    </row>
    <row r="633">
      <c r="F633" s="186"/>
      <c r="G633" s="186"/>
    </row>
    <row r="634">
      <c r="F634" s="186"/>
      <c r="G634" s="186"/>
    </row>
    <row r="635">
      <c r="F635" s="186"/>
      <c r="G635" s="186"/>
    </row>
    <row r="636">
      <c r="F636" s="186"/>
      <c r="G636" s="186"/>
    </row>
    <row r="637">
      <c r="F637" s="186"/>
      <c r="G637" s="186"/>
    </row>
    <row r="638">
      <c r="F638" s="186"/>
      <c r="G638" s="186"/>
    </row>
    <row r="639">
      <c r="F639" s="186"/>
      <c r="G639" s="186"/>
    </row>
    <row r="640">
      <c r="F640" s="186"/>
      <c r="G640" s="186"/>
    </row>
    <row r="641">
      <c r="F641" s="186"/>
      <c r="G641" s="186"/>
    </row>
    <row r="642">
      <c r="F642" s="186"/>
      <c r="G642" s="186"/>
    </row>
    <row r="643">
      <c r="F643" s="186"/>
      <c r="G643" s="186"/>
    </row>
    <row r="644">
      <c r="F644" s="186"/>
      <c r="G644" s="186"/>
    </row>
    <row r="645">
      <c r="F645" s="186"/>
      <c r="G645" s="186"/>
    </row>
    <row r="646">
      <c r="F646" s="186"/>
      <c r="G646" s="186"/>
    </row>
    <row r="647">
      <c r="F647" s="186"/>
      <c r="G647" s="186"/>
    </row>
    <row r="648">
      <c r="F648" s="186"/>
      <c r="G648" s="186"/>
    </row>
    <row r="649">
      <c r="F649" s="186"/>
      <c r="G649" s="186"/>
    </row>
    <row r="650">
      <c r="F650" s="186"/>
      <c r="G650" s="186"/>
    </row>
    <row r="651">
      <c r="F651" s="186"/>
      <c r="G651" s="186"/>
    </row>
    <row r="652">
      <c r="F652" s="186"/>
      <c r="G652" s="186"/>
    </row>
    <row r="653">
      <c r="F653" s="186"/>
      <c r="G653" s="186"/>
    </row>
    <row r="654">
      <c r="F654" s="186"/>
      <c r="G654" s="186"/>
    </row>
    <row r="655">
      <c r="F655" s="186"/>
      <c r="G655" s="186"/>
    </row>
    <row r="656">
      <c r="F656" s="186"/>
      <c r="G656" s="186"/>
    </row>
    <row r="657">
      <c r="F657" s="186"/>
      <c r="G657" s="186"/>
    </row>
    <row r="658">
      <c r="F658" s="186"/>
      <c r="G658" s="186"/>
    </row>
    <row r="659">
      <c r="F659" s="186"/>
      <c r="G659" s="186"/>
    </row>
    <row r="660">
      <c r="F660" s="186"/>
      <c r="G660" s="186"/>
    </row>
    <row r="661">
      <c r="F661" s="186"/>
      <c r="G661" s="186"/>
    </row>
    <row r="662">
      <c r="F662" s="186"/>
      <c r="G662" s="186"/>
    </row>
    <row r="663">
      <c r="F663" s="186"/>
      <c r="G663" s="186"/>
    </row>
    <row r="664">
      <c r="F664" s="186"/>
      <c r="G664" s="186"/>
    </row>
    <row r="665">
      <c r="F665" s="186"/>
      <c r="G665" s="186"/>
    </row>
    <row r="666">
      <c r="F666" s="186"/>
      <c r="G666" s="186"/>
    </row>
    <row r="667">
      <c r="F667" s="186"/>
      <c r="G667" s="186"/>
    </row>
    <row r="668">
      <c r="F668" s="186"/>
      <c r="G668" s="186"/>
    </row>
    <row r="669">
      <c r="F669" s="186"/>
      <c r="G669" s="186"/>
    </row>
    <row r="670">
      <c r="F670" s="186"/>
      <c r="G670" s="186"/>
    </row>
    <row r="671">
      <c r="F671" s="186"/>
      <c r="G671" s="186"/>
    </row>
    <row r="672">
      <c r="F672" s="186"/>
      <c r="G672" s="186"/>
    </row>
    <row r="673">
      <c r="F673" s="186"/>
      <c r="G673" s="186"/>
    </row>
    <row r="674">
      <c r="F674" s="186"/>
      <c r="G674" s="186"/>
    </row>
    <row r="675">
      <c r="F675" s="186"/>
      <c r="G675" s="186"/>
    </row>
    <row r="676">
      <c r="F676" s="186"/>
      <c r="G676" s="186"/>
    </row>
    <row r="677">
      <c r="F677" s="186"/>
      <c r="G677" s="186"/>
    </row>
    <row r="678">
      <c r="F678" s="186"/>
      <c r="G678" s="186"/>
    </row>
    <row r="679">
      <c r="F679" s="186"/>
      <c r="G679" s="186"/>
    </row>
    <row r="680">
      <c r="F680" s="186"/>
      <c r="G680" s="186"/>
    </row>
    <row r="681">
      <c r="F681" s="186"/>
      <c r="G681" s="186"/>
    </row>
    <row r="682">
      <c r="F682" s="186"/>
      <c r="G682" s="186"/>
    </row>
    <row r="683">
      <c r="F683" s="186"/>
      <c r="G683" s="186"/>
    </row>
    <row r="684">
      <c r="F684" s="186"/>
      <c r="G684" s="186"/>
    </row>
    <row r="685">
      <c r="F685" s="186"/>
      <c r="G685" s="186"/>
    </row>
    <row r="686">
      <c r="F686" s="186"/>
      <c r="G686" s="186"/>
    </row>
    <row r="687">
      <c r="F687" s="186"/>
      <c r="G687" s="186"/>
    </row>
    <row r="688">
      <c r="F688" s="186"/>
      <c r="G688" s="186"/>
    </row>
    <row r="689">
      <c r="F689" s="186"/>
      <c r="G689" s="186"/>
    </row>
    <row r="690">
      <c r="F690" s="186"/>
      <c r="G690" s="186"/>
    </row>
    <row r="691">
      <c r="F691" s="186"/>
      <c r="G691" s="186"/>
    </row>
    <row r="692">
      <c r="F692" s="186"/>
      <c r="G692" s="186"/>
    </row>
    <row r="693">
      <c r="F693" s="186"/>
      <c r="G693" s="186"/>
    </row>
    <row r="694">
      <c r="F694" s="186"/>
      <c r="G694" s="186"/>
    </row>
    <row r="695">
      <c r="F695" s="186"/>
      <c r="G695" s="186"/>
    </row>
    <row r="696">
      <c r="F696" s="186"/>
      <c r="G696" s="186"/>
    </row>
    <row r="697">
      <c r="F697" s="186"/>
      <c r="G697" s="186"/>
    </row>
    <row r="698">
      <c r="F698" s="186"/>
      <c r="G698" s="186"/>
    </row>
    <row r="699">
      <c r="F699" s="186"/>
      <c r="G699" s="186"/>
    </row>
    <row r="700">
      <c r="F700" s="186"/>
      <c r="G700" s="186"/>
    </row>
    <row r="701">
      <c r="F701" s="186"/>
      <c r="G701" s="186"/>
    </row>
    <row r="702">
      <c r="F702" s="186"/>
      <c r="G702" s="186"/>
    </row>
    <row r="703">
      <c r="F703" s="186"/>
      <c r="G703" s="186"/>
    </row>
    <row r="704">
      <c r="F704" s="186"/>
      <c r="G704" s="186"/>
    </row>
    <row r="705">
      <c r="F705" s="186"/>
      <c r="G705" s="186"/>
    </row>
    <row r="706">
      <c r="F706" s="186"/>
      <c r="G706" s="186"/>
    </row>
    <row r="707">
      <c r="F707" s="186"/>
      <c r="G707" s="186"/>
    </row>
    <row r="708">
      <c r="F708" s="186"/>
      <c r="G708" s="186"/>
    </row>
    <row r="709">
      <c r="F709" s="186"/>
      <c r="G709" s="186"/>
    </row>
    <row r="710">
      <c r="F710" s="186"/>
      <c r="G710" s="186"/>
    </row>
    <row r="711">
      <c r="F711" s="186"/>
      <c r="G711" s="186"/>
    </row>
    <row r="712">
      <c r="F712" s="186"/>
      <c r="G712" s="186"/>
    </row>
    <row r="713">
      <c r="F713" s="186"/>
      <c r="G713" s="186"/>
    </row>
    <row r="714">
      <c r="F714" s="186"/>
      <c r="G714" s="186"/>
    </row>
    <row r="715">
      <c r="F715" s="186"/>
      <c r="G715" s="186"/>
    </row>
    <row r="716">
      <c r="F716" s="186"/>
      <c r="G716" s="186"/>
    </row>
    <row r="717">
      <c r="F717" s="186"/>
      <c r="G717" s="186"/>
    </row>
    <row r="718">
      <c r="F718" s="186"/>
      <c r="G718" s="186"/>
    </row>
    <row r="719">
      <c r="F719" s="186"/>
      <c r="G719" s="186"/>
    </row>
    <row r="720">
      <c r="F720" s="186"/>
      <c r="G720" s="186"/>
    </row>
    <row r="721">
      <c r="F721" s="186"/>
      <c r="G721" s="186"/>
    </row>
    <row r="722">
      <c r="F722" s="186"/>
      <c r="G722" s="186"/>
    </row>
    <row r="723">
      <c r="F723" s="186"/>
      <c r="G723" s="186"/>
    </row>
    <row r="724">
      <c r="F724" s="186"/>
      <c r="G724" s="186"/>
    </row>
    <row r="725">
      <c r="F725" s="186"/>
      <c r="G725" s="186"/>
    </row>
    <row r="726">
      <c r="F726" s="186"/>
      <c r="G726" s="186"/>
    </row>
    <row r="727">
      <c r="F727" s="186"/>
      <c r="G727" s="186"/>
    </row>
    <row r="728">
      <c r="F728" s="186"/>
      <c r="G728" s="186"/>
    </row>
    <row r="729">
      <c r="F729" s="186"/>
      <c r="G729" s="186"/>
    </row>
    <row r="730">
      <c r="F730" s="186"/>
      <c r="G730" s="186"/>
    </row>
    <row r="731">
      <c r="F731" s="186"/>
      <c r="G731" s="186"/>
    </row>
    <row r="732">
      <c r="F732" s="186"/>
      <c r="G732" s="186"/>
    </row>
    <row r="733">
      <c r="F733" s="186"/>
      <c r="G733" s="186"/>
    </row>
    <row r="734">
      <c r="F734" s="186"/>
      <c r="G734" s="186"/>
    </row>
    <row r="735">
      <c r="F735" s="186"/>
      <c r="G735" s="186"/>
    </row>
    <row r="736">
      <c r="F736" s="186"/>
      <c r="G736" s="186"/>
    </row>
    <row r="737">
      <c r="F737" s="186"/>
      <c r="G737" s="186"/>
    </row>
    <row r="738">
      <c r="F738" s="186"/>
      <c r="G738" s="186"/>
    </row>
    <row r="739">
      <c r="F739" s="186"/>
      <c r="G739" s="186"/>
    </row>
    <row r="740">
      <c r="F740" s="186"/>
      <c r="G740" s="186"/>
    </row>
    <row r="741">
      <c r="F741" s="186"/>
      <c r="G741" s="186"/>
    </row>
    <row r="742">
      <c r="F742" s="186"/>
      <c r="G742" s="186"/>
    </row>
    <row r="743">
      <c r="F743" s="186"/>
      <c r="G743" s="186"/>
    </row>
    <row r="744">
      <c r="F744" s="186"/>
      <c r="G744" s="186"/>
    </row>
    <row r="745">
      <c r="F745" s="186"/>
      <c r="G745" s="186"/>
    </row>
    <row r="746">
      <c r="F746" s="186"/>
      <c r="G746" s="186"/>
    </row>
    <row r="747">
      <c r="F747" s="186"/>
      <c r="G747" s="186"/>
    </row>
    <row r="748">
      <c r="F748" s="186"/>
      <c r="G748" s="186"/>
    </row>
    <row r="749">
      <c r="F749" s="186"/>
      <c r="G749" s="186"/>
    </row>
    <row r="750">
      <c r="F750" s="186"/>
      <c r="G750" s="186"/>
    </row>
    <row r="751">
      <c r="F751" s="186"/>
      <c r="G751" s="186"/>
    </row>
    <row r="752">
      <c r="F752" s="186"/>
      <c r="G752" s="186"/>
    </row>
    <row r="753">
      <c r="F753" s="186"/>
      <c r="G753" s="186"/>
    </row>
    <row r="754">
      <c r="F754" s="186"/>
      <c r="G754" s="186"/>
    </row>
    <row r="755">
      <c r="F755" s="186"/>
      <c r="G755" s="186"/>
    </row>
    <row r="756">
      <c r="F756" s="186"/>
      <c r="G756" s="186"/>
    </row>
    <row r="757">
      <c r="F757" s="186"/>
      <c r="G757" s="186"/>
    </row>
    <row r="758">
      <c r="F758" s="186"/>
      <c r="G758" s="186"/>
    </row>
    <row r="759">
      <c r="F759" s="186"/>
      <c r="G759" s="186"/>
    </row>
    <row r="760">
      <c r="F760" s="186"/>
      <c r="G760" s="186"/>
    </row>
    <row r="761">
      <c r="F761" s="186"/>
      <c r="G761" s="186"/>
    </row>
    <row r="762">
      <c r="F762" s="186"/>
      <c r="G762" s="186"/>
    </row>
    <row r="763">
      <c r="F763" s="186"/>
      <c r="G763" s="186"/>
    </row>
    <row r="764">
      <c r="F764" s="186"/>
      <c r="G764" s="186"/>
    </row>
    <row r="765">
      <c r="F765" s="186"/>
      <c r="G765" s="186"/>
    </row>
    <row r="766">
      <c r="F766" s="186"/>
      <c r="G766" s="186"/>
    </row>
    <row r="767">
      <c r="F767" s="186"/>
      <c r="G767" s="186"/>
    </row>
    <row r="768">
      <c r="F768" s="186"/>
      <c r="G768" s="186"/>
    </row>
    <row r="769">
      <c r="F769" s="186"/>
      <c r="G769" s="186"/>
    </row>
    <row r="770">
      <c r="F770" s="186"/>
      <c r="G770" s="186"/>
    </row>
    <row r="771">
      <c r="F771" s="186"/>
      <c r="G771" s="186"/>
    </row>
    <row r="772">
      <c r="F772" s="186"/>
      <c r="G772" s="186"/>
    </row>
    <row r="773">
      <c r="F773" s="186"/>
      <c r="G773" s="186"/>
    </row>
    <row r="774">
      <c r="F774" s="186"/>
      <c r="G774" s="186"/>
    </row>
    <row r="775">
      <c r="F775" s="186"/>
      <c r="G775" s="186"/>
    </row>
    <row r="776">
      <c r="F776" s="186"/>
      <c r="G776" s="186"/>
    </row>
    <row r="777">
      <c r="F777" s="186"/>
      <c r="G777" s="186"/>
    </row>
    <row r="778">
      <c r="F778" s="186"/>
      <c r="G778" s="186"/>
    </row>
    <row r="779">
      <c r="F779" s="186"/>
      <c r="G779" s="186"/>
    </row>
    <row r="780">
      <c r="F780" s="186"/>
      <c r="G780" s="186"/>
    </row>
    <row r="781">
      <c r="F781" s="186"/>
      <c r="G781" s="186"/>
    </row>
    <row r="782">
      <c r="F782" s="186"/>
      <c r="G782" s="186"/>
    </row>
    <row r="783">
      <c r="F783" s="186"/>
      <c r="G783" s="186"/>
    </row>
    <row r="784">
      <c r="F784" s="186"/>
      <c r="G784" s="186"/>
    </row>
    <row r="785">
      <c r="F785" s="186"/>
      <c r="G785" s="186"/>
    </row>
    <row r="786">
      <c r="F786" s="186"/>
      <c r="G786" s="186"/>
    </row>
    <row r="787">
      <c r="F787" s="186"/>
      <c r="G787" s="186"/>
    </row>
    <row r="788">
      <c r="F788" s="186"/>
      <c r="G788" s="186"/>
    </row>
    <row r="789">
      <c r="F789" s="186"/>
      <c r="G789" s="186"/>
    </row>
    <row r="790">
      <c r="F790" s="186"/>
      <c r="G790" s="186"/>
    </row>
    <row r="791">
      <c r="F791" s="186"/>
      <c r="G791" s="186"/>
    </row>
    <row r="792">
      <c r="F792" s="186"/>
      <c r="G792" s="186"/>
    </row>
    <row r="793">
      <c r="F793" s="186"/>
      <c r="G793" s="186"/>
    </row>
    <row r="794">
      <c r="F794" s="186"/>
      <c r="G794" s="186"/>
    </row>
    <row r="795">
      <c r="F795" s="186"/>
      <c r="G795" s="186"/>
    </row>
    <row r="796">
      <c r="F796" s="186"/>
      <c r="G796" s="186"/>
    </row>
    <row r="797">
      <c r="F797" s="186"/>
      <c r="G797" s="186"/>
    </row>
    <row r="798">
      <c r="F798" s="186"/>
      <c r="G798" s="186"/>
    </row>
    <row r="799">
      <c r="F799" s="186"/>
      <c r="G799" s="186"/>
    </row>
    <row r="800">
      <c r="F800" s="186"/>
      <c r="G800" s="186"/>
    </row>
    <row r="801">
      <c r="F801" s="186"/>
      <c r="G801" s="186"/>
    </row>
    <row r="802">
      <c r="F802" s="186"/>
      <c r="G802" s="186"/>
    </row>
    <row r="803">
      <c r="F803" s="186"/>
      <c r="G803" s="186"/>
    </row>
    <row r="804">
      <c r="F804" s="186"/>
      <c r="G804" s="186"/>
    </row>
    <row r="805">
      <c r="F805" s="186"/>
      <c r="G805" s="186"/>
    </row>
    <row r="806">
      <c r="F806" s="186"/>
      <c r="G806" s="186"/>
    </row>
    <row r="807">
      <c r="F807" s="186"/>
      <c r="G807" s="186"/>
    </row>
    <row r="808">
      <c r="F808" s="186"/>
      <c r="G808" s="186"/>
    </row>
    <row r="809">
      <c r="F809" s="186"/>
      <c r="G809" s="186"/>
    </row>
    <row r="810">
      <c r="F810" s="186"/>
      <c r="G810" s="186"/>
    </row>
    <row r="811">
      <c r="F811" s="186"/>
      <c r="G811" s="186"/>
    </row>
    <row r="812">
      <c r="F812" s="186"/>
      <c r="G812" s="186"/>
    </row>
    <row r="813">
      <c r="F813" s="186"/>
      <c r="G813" s="186"/>
    </row>
    <row r="814">
      <c r="F814" s="186"/>
      <c r="G814" s="186"/>
    </row>
    <row r="815">
      <c r="F815" s="186"/>
      <c r="G815" s="186"/>
    </row>
    <row r="816">
      <c r="F816" s="186"/>
      <c r="G816" s="186"/>
    </row>
    <row r="817">
      <c r="F817" s="186"/>
      <c r="G817" s="186"/>
    </row>
    <row r="818">
      <c r="F818" s="186"/>
      <c r="G818" s="186"/>
    </row>
    <row r="819">
      <c r="F819" s="186"/>
      <c r="G819" s="186"/>
    </row>
    <row r="820">
      <c r="F820" s="186"/>
      <c r="G820" s="186"/>
    </row>
    <row r="821">
      <c r="F821" s="186"/>
      <c r="G821" s="186"/>
    </row>
    <row r="822">
      <c r="F822" s="186"/>
      <c r="G822" s="186"/>
    </row>
    <row r="823">
      <c r="F823" s="186"/>
      <c r="G823" s="186"/>
    </row>
    <row r="824">
      <c r="F824" s="186"/>
      <c r="G824" s="186"/>
    </row>
    <row r="825">
      <c r="F825" s="186"/>
      <c r="G825" s="186"/>
    </row>
    <row r="826">
      <c r="F826" s="186"/>
      <c r="G826" s="186"/>
    </row>
    <row r="827">
      <c r="F827" s="186"/>
      <c r="G827" s="186"/>
    </row>
    <row r="828">
      <c r="F828" s="186"/>
      <c r="G828" s="186"/>
    </row>
    <row r="829">
      <c r="F829" s="186"/>
      <c r="G829" s="186"/>
    </row>
    <row r="830">
      <c r="F830" s="186"/>
      <c r="G830" s="186"/>
    </row>
    <row r="831">
      <c r="F831" s="186"/>
      <c r="G831" s="186"/>
    </row>
    <row r="832">
      <c r="F832" s="186"/>
      <c r="G832" s="186"/>
    </row>
    <row r="833">
      <c r="F833" s="186"/>
      <c r="G833" s="186"/>
    </row>
    <row r="834">
      <c r="F834" s="186"/>
      <c r="G834" s="186"/>
    </row>
    <row r="835">
      <c r="F835" s="186"/>
      <c r="G835" s="186"/>
    </row>
    <row r="836">
      <c r="F836" s="186"/>
      <c r="G836" s="186"/>
    </row>
    <row r="837">
      <c r="F837" s="186"/>
      <c r="G837" s="186"/>
    </row>
    <row r="838">
      <c r="F838" s="186"/>
      <c r="G838" s="186"/>
    </row>
    <row r="839">
      <c r="F839" s="186"/>
      <c r="G839" s="186"/>
    </row>
    <row r="840">
      <c r="F840" s="186"/>
      <c r="G840" s="186"/>
    </row>
    <row r="841">
      <c r="F841" s="186"/>
      <c r="G841" s="186"/>
    </row>
    <row r="842">
      <c r="F842" s="186"/>
      <c r="G842" s="186"/>
    </row>
    <row r="843">
      <c r="F843" s="186"/>
      <c r="G843" s="186"/>
    </row>
    <row r="844">
      <c r="F844" s="186"/>
      <c r="G844" s="186"/>
    </row>
    <row r="845">
      <c r="F845" s="186"/>
      <c r="G845" s="186"/>
    </row>
    <row r="846">
      <c r="F846" s="186"/>
      <c r="G846" s="186"/>
    </row>
    <row r="847">
      <c r="F847" s="186"/>
      <c r="G847" s="186"/>
    </row>
    <row r="848">
      <c r="F848" s="186"/>
      <c r="G848" s="186"/>
    </row>
    <row r="849">
      <c r="F849" s="186"/>
      <c r="G849" s="186"/>
    </row>
    <row r="850">
      <c r="F850" s="186"/>
      <c r="G850" s="186"/>
    </row>
    <row r="851">
      <c r="F851" s="186"/>
      <c r="G851" s="186"/>
    </row>
    <row r="852">
      <c r="F852" s="186"/>
      <c r="G852" s="186"/>
    </row>
    <row r="853">
      <c r="F853" s="186"/>
      <c r="G853" s="186"/>
    </row>
    <row r="854">
      <c r="F854" s="186"/>
      <c r="G854" s="186"/>
    </row>
    <row r="855">
      <c r="F855" s="186"/>
      <c r="G855" s="186"/>
    </row>
    <row r="856">
      <c r="F856" s="186"/>
      <c r="G856" s="186"/>
    </row>
    <row r="857">
      <c r="F857" s="186"/>
      <c r="G857" s="186"/>
    </row>
    <row r="858">
      <c r="F858" s="186"/>
      <c r="G858" s="186"/>
    </row>
    <row r="859">
      <c r="F859" s="186"/>
      <c r="G859" s="186"/>
    </row>
    <row r="860">
      <c r="F860" s="186"/>
      <c r="G860" s="186"/>
    </row>
    <row r="861">
      <c r="F861" s="186"/>
      <c r="G861" s="186"/>
    </row>
    <row r="862">
      <c r="F862" s="186"/>
      <c r="G862" s="186"/>
    </row>
    <row r="863">
      <c r="F863" s="186"/>
      <c r="G863" s="186"/>
    </row>
    <row r="864">
      <c r="F864" s="186"/>
      <c r="G864" s="186"/>
    </row>
    <row r="865">
      <c r="F865" s="186"/>
      <c r="G865" s="186"/>
    </row>
    <row r="866">
      <c r="F866" s="186"/>
      <c r="G866" s="186"/>
    </row>
    <row r="867">
      <c r="F867" s="186"/>
      <c r="G867" s="186"/>
    </row>
    <row r="868">
      <c r="F868" s="186"/>
      <c r="G868" s="186"/>
    </row>
    <row r="869">
      <c r="F869" s="186"/>
      <c r="G869" s="186"/>
    </row>
    <row r="870">
      <c r="F870" s="186"/>
      <c r="G870" s="186"/>
    </row>
    <row r="871">
      <c r="F871" s="186"/>
      <c r="G871" s="186"/>
    </row>
    <row r="872">
      <c r="F872" s="186"/>
      <c r="G872" s="186"/>
    </row>
    <row r="873">
      <c r="F873" s="186"/>
      <c r="G873" s="186"/>
    </row>
    <row r="874">
      <c r="F874" s="186"/>
      <c r="G874" s="186"/>
    </row>
    <row r="875">
      <c r="F875" s="186"/>
      <c r="G875" s="186"/>
    </row>
    <row r="876">
      <c r="F876" s="186"/>
      <c r="G876" s="186"/>
    </row>
    <row r="877">
      <c r="F877" s="186"/>
      <c r="G877" s="186"/>
    </row>
    <row r="878">
      <c r="F878" s="186"/>
      <c r="G878" s="186"/>
    </row>
    <row r="879">
      <c r="F879" s="186"/>
      <c r="G879" s="186"/>
    </row>
    <row r="880">
      <c r="F880" s="186"/>
      <c r="G880" s="186"/>
    </row>
    <row r="881">
      <c r="F881" s="186"/>
      <c r="G881" s="186"/>
    </row>
    <row r="882">
      <c r="F882" s="186"/>
      <c r="G882" s="186"/>
    </row>
    <row r="883">
      <c r="F883" s="186"/>
      <c r="G883" s="186"/>
    </row>
    <row r="884">
      <c r="F884" s="186"/>
      <c r="G884" s="186"/>
    </row>
    <row r="885">
      <c r="F885" s="186"/>
      <c r="G885" s="186"/>
    </row>
    <row r="886">
      <c r="F886" s="186"/>
      <c r="G886" s="186"/>
    </row>
    <row r="887">
      <c r="F887" s="186"/>
      <c r="G887" s="186"/>
    </row>
    <row r="888">
      <c r="F888" s="186"/>
      <c r="G888" s="186"/>
    </row>
    <row r="889">
      <c r="F889" s="186"/>
      <c r="G889" s="186"/>
    </row>
    <row r="890">
      <c r="F890" s="186"/>
      <c r="G890" s="186"/>
    </row>
    <row r="891">
      <c r="F891" s="186"/>
      <c r="G891" s="186"/>
    </row>
    <row r="892">
      <c r="F892" s="186"/>
      <c r="G892" s="186"/>
    </row>
    <row r="893">
      <c r="F893" s="186"/>
      <c r="G893" s="186"/>
    </row>
    <row r="894">
      <c r="F894" s="186"/>
      <c r="G894" s="186"/>
    </row>
    <row r="895">
      <c r="F895" s="186"/>
      <c r="G895" s="186"/>
    </row>
    <row r="896">
      <c r="F896" s="186"/>
      <c r="G896" s="186"/>
    </row>
    <row r="897">
      <c r="F897" s="186"/>
      <c r="G897" s="186"/>
    </row>
    <row r="898">
      <c r="F898" s="186"/>
      <c r="G898" s="186"/>
    </row>
    <row r="899">
      <c r="F899" s="186"/>
      <c r="G899" s="186"/>
    </row>
    <row r="900">
      <c r="F900" s="186"/>
      <c r="G900" s="186"/>
    </row>
    <row r="901">
      <c r="F901" s="186"/>
      <c r="G901" s="186"/>
    </row>
    <row r="902">
      <c r="F902" s="186"/>
      <c r="G902" s="186"/>
    </row>
    <row r="903">
      <c r="F903" s="186"/>
      <c r="G903" s="186"/>
    </row>
    <row r="904">
      <c r="F904" s="186"/>
      <c r="G904" s="186"/>
    </row>
    <row r="905">
      <c r="F905" s="186"/>
      <c r="G905" s="186"/>
    </row>
    <row r="906">
      <c r="F906" s="186"/>
      <c r="G906" s="186"/>
    </row>
    <row r="907">
      <c r="F907" s="186"/>
      <c r="G907" s="186"/>
    </row>
    <row r="908">
      <c r="F908" s="186"/>
      <c r="G908" s="186"/>
    </row>
    <row r="909">
      <c r="F909" s="186"/>
      <c r="G909" s="186"/>
    </row>
    <row r="910">
      <c r="F910" s="186"/>
      <c r="G910" s="186"/>
    </row>
    <row r="911">
      <c r="F911" s="186"/>
      <c r="G911" s="186"/>
    </row>
    <row r="912">
      <c r="F912" s="186"/>
      <c r="G912" s="186"/>
    </row>
    <row r="913">
      <c r="F913" s="186"/>
      <c r="G913" s="186"/>
    </row>
    <row r="914">
      <c r="F914" s="186"/>
      <c r="G914" s="186"/>
    </row>
    <row r="915">
      <c r="F915" s="186"/>
      <c r="G915" s="186"/>
    </row>
    <row r="916">
      <c r="F916" s="186"/>
      <c r="G916" s="186"/>
    </row>
    <row r="917">
      <c r="F917" s="186"/>
      <c r="G917" s="186"/>
    </row>
    <row r="918">
      <c r="F918" s="186"/>
      <c r="G918" s="186"/>
    </row>
    <row r="919">
      <c r="F919" s="186"/>
      <c r="G919" s="186"/>
    </row>
    <row r="920">
      <c r="F920" s="186"/>
      <c r="G920" s="186"/>
    </row>
    <row r="921">
      <c r="F921" s="186"/>
      <c r="G921" s="186"/>
    </row>
    <row r="922">
      <c r="F922" s="186"/>
      <c r="G922" s="186"/>
    </row>
    <row r="923">
      <c r="F923" s="186"/>
      <c r="G923" s="186"/>
    </row>
    <row r="924">
      <c r="F924" s="186"/>
      <c r="G924" s="186"/>
    </row>
    <row r="925">
      <c r="F925" s="186"/>
      <c r="G925" s="186"/>
    </row>
    <row r="926">
      <c r="F926" s="186"/>
      <c r="G926" s="186"/>
    </row>
    <row r="927">
      <c r="F927" s="186"/>
      <c r="G927" s="186"/>
    </row>
    <row r="928">
      <c r="F928" s="186"/>
      <c r="G928" s="186"/>
    </row>
    <row r="929">
      <c r="F929" s="186"/>
      <c r="G929" s="186"/>
    </row>
    <row r="930">
      <c r="F930" s="186"/>
      <c r="G930" s="186"/>
    </row>
    <row r="931">
      <c r="F931" s="186"/>
      <c r="G931" s="186"/>
    </row>
    <row r="932">
      <c r="F932" s="186"/>
      <c r="G932" s="186"/>
    </row>
    <row r="933">
      <c r="F933" s="186"/>
      <c r="G933" s="186"/>
    </row>
    <row r="934">
      <c r="F934" s="186"/>
      <c r="G934" s="186"/>
    </row>
    <row r="935">
      <c r="F935" s="186"/>
      <c r="G935" s="186"/>
    </row>
    <row r="936">
      <c r="F936" s="186"/>
      <c r="G936" s="186"/>
    </row>
    <row r="937">
      <c r="F937" s="186"/>
      <c r="G937" s="186"/>
    </row>
    <row r="938">
      <c r="F938" s="186"/>
      <c r="G938" s="186"/>
    </row>
    <row r="939">
      <c r="F939" s="186"/>
      <c r="G939" s="186"/>
    </row>
    <row r="940">
      <c r="F940" s="186"/>
      <c r="G940" s="186"/>
    </row>
    <row r="941">
      <c r="F941" s="186"/>
      <c r="G941" s="186"/>
    </row>
    <row r="942">
      <c r="F942" s="186"/>
      <c r="G942" s="186"/>
    </row>
    <row r="943">
      <c r="F943" s="186"/>
      <c r="G943" s="186"/>
    </row>
    <row r="944">
      <c r="F944" s="186"/>
      <c r="G944" s="186"/>
    </row>
    <row r="945">
      <c r="F945" s="186"/>
      <c r="G945" s="186"/>
    </row>
    <row r="946">
      <c r="F946" s="186"/>
      <c r="G946" s="186"/>
    </row>
    <row r="947">
      <c r="F947" s="186"/>
      <c r="G947" s="186"/>
    </row>
    <row r="948">
      <c r="F948" s="186"/>
      <c r="G948" s="186"/>
    </row>
    <row r="949">
      <c r="F949" s="186"/>
      <c r="G949" s="186"/>
    </row>
    <row r="950">
      <c r="F950" s="186"/>
      <c r="G950" s="186"/>
    </row>
    <row r="951">
      <c r="F951" s="186"/>
      <c r="G951" s="186"/>
    </row>
    <row r="952">
      <c r="F952" s="186"/>
      <c r="G952" s="186"/>
    </row>
    <row r="953">
      <c r="F953" s="186"/>
      <c r="G953" s="186"/>
    </row>
    <row r="954">
      <c r="F954" s="186"/>
      <c r="G954" s="186"/>
    </row>
    <row r="955">
      <c r="F955" s="186"/>
      <c r="G955" s="186"/>
    </row>
    <row r="956">
      <c r="F956" s="186"/>
      <c r="G956" s="186"/>
    </row>
    <row r="957">
      <c r="F957" s="186"/>
      <c r="G957" s="186"/>
    </row>
    <row r="958">
      <c r="F958" s="186"/>
      <c r="G958" s="186"/>
    </row>
    <row r="959">
      <c r="F959" s="186"/>
      <c r="G959" s="186"/>
    </row>
    <row r="960">
      <c r="F960" s="186"/>
      <c r="G960" s="186"/>
    </row>
    <row r="961">
      <c r="F961" s="186"/>
      <c r="G961" s="186"/>
    </row>
    <row r="962">
      <c r="F962" s="186"/>
      <c r="G962" s="186"/>
    </row>
    <row r="963">
      <c r="F963" s="186"/>
      <c r="G963" s="186"/>
    </row>
    <row r="964">
      <c r="F964" s="186"/>
      <c r="G964" s="186"/>
    </row>
    <row r="965">
      <c r="F965" s="186"/>
      <c r="G965" s="186"/>
    </row>
    <row r="966">
      <c r="F966" s="186"/>
      <c r="G966" s="186"/>
    </row>
    <row r="967">
      <c r="F967" s="186"/>
      <c r="G967" s="186"/>
    </row>
    <row r="968">
      <c r="F968" s="186"/>
      <c r="G968" s="186"/>
    </row>
    <row r="969">
      <c r="F969" s="186"/>
      <c r="G969" s="186"/>
    </row>
    <row r="970">
      <c r="F970" s="186"/>
      <c r="G970" s="186"/>
    </row>
    <row r="971">
      <c r="F971" s="186"/>
      <c r="G971" s="186"/>
    </row>
    <row r="972">
      <c r="F972" s="186"/>
      <c r="G972" s="186"/>
    </row>
    <row r="973">
      <c r="F973" s="186"/>
      <c r="G973" s="186"/>
    </row>
    <row r="974">
      <c r="F974" s="186"/>
      <c r="G974" s="186"/>
    </row>
    <row r="975">
      <c r="F975" s="186"/>
      <c r="G975" s="186"/>
    </row>
    <row r="976">
      <c r="F976" s="186"/>
      <c r="G976" s="186"/>
    </row>
    <row r="977">
      <c r="F977" s="186"/>
      <c r="G977" s="186"/>
    </row>
    <row r="978">
      <c r="F978" s="186"/>
      <c r="G978" s="186"/>
    </row>
    <row r="979">
      <c r="F979" s="186"/>
      <c r="G979" s="186"/>
    </row>
    <row r="980">
      <c r="F980" s="186"/>
      <c r="G980" s="186"/>
    </row>
    <row r="981">
      <c r="F981" s="186"/>
      <c r="G981" s="186"/>
    </row>
    <row r="982">
      <c r="F982" s="186"/>
      <c r="G982" s="186"/>
    </row>
    <row r="983">
      <c r="F983" s="186"/>
      <c r="G983" s="186"/>
    </row>
    <row r="984">
      <c r="F984" s="186"/>
      <c r="G984" s="186"/>
    </row>
    <row r="985">
      <c r="F985" s="186"/>
      <c r="G985" s="186"/>
    </row>
    <row r="986">
      <c r="F986" s="186"/>
      <c r="G986" s="186"/>
    </row>
    <row r="987">
      <c r="F987" s="186"/>
      <c r="G987" s="186"/>
    </row>
    <row r="988">
      <c r="F988" s="186"/>
      <c r="G988" s="186"/>
    </row>
    <row r="989">
      <c r="F989" s="186"/>
      <c r="G989" s="186"/>
    </row>
    <row r="990">
      <c r="F990" s="186"/>
      <c r="G990" s="186"/>
    </row>
    <row r="991">
      <c r="F991" s="186"/>
      <c r="G991" s="186"/>
    </row>
    <row r="992">
      <c r="F992" s="186"/>
      <c r="G992" s="186"/>
    </row>
    <row r="993">
      <c r="F993" s="186"/>
      <c r="G993" s="186"/>
    </row>
    <row r="994">
      <c r="F994" s="186"/>
      <c r="G994" s="186"/>
    </row>
    <row r="995">
      <c r="F995" s="186"/>
      <c r="G995" s="186"/>
    </row>
    <row r="996">
      <c r="F996" s="186"/>
      <c r="G996" s="186"/>
    </row>
    <row r="997">
      <c r="F997" s="186"/>
      <c r="G997" s="186"/>
    </row>
    <row r="998">
      <c r="F998" s="186"/>
      <c r="G998" s="186"/>
    </row>
    <row r="999">
      <c r="F999" s="186"/>
      <c r="G999" s="186"/>
    </row>
    <row r="1000">
      <c r="F1000" s="186"/>
      <c r="G1000" s="186"/>
    </row>
  </sheetData>
  <autoFilter ref="$A$1:$H$12"/>
  <dataValidations>
    <dataValidation type="list" allowBlank="1" showErrorMessage="1" sqref="C2:C150">
      <formula1>"EP01,EP02,EP03,EP04,EP05,EP06,EP07,EP08,EP09,EP10"</formula1>
    </dataValidation>
    <dataValidation type="list" allowBlank="1" showErrorMessage="1" sqref="G2:G150">
      <formula1>"High,Medium,Low"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66.57"/>
    <col customWidth="1" min="4" max="4" width="32.29"/>
  </cols>
  <sheetData>
    <row r="1">
      <c r="A1" s="183" t="s">
        <v>411</v>
      </c>
      <c r="B1" s="183" t="s">
        <v>412</v>
      </c>
      <c r="C1" s="183" t="s">
        <v>413</v>
      </c>
      <c r="D1" s="183" t="s">
        <v>414</v>
      </c>
      <c r="E1" s="183" t="s">
        <v>415</v>
      </c>
      <c r="F1" s="183" t="s">
        <v>77</v>
      </c>
      <c r="G1" s="183" t="s">
        <v>416</v>
      </c>
      <c r="H1" s="183" t="s">
        <v>417</v>
      </c>
    </row>
    <row r="2">
      <c r="A2" s="183" t="s">
        <v>418</v>
      </c>
      <c r="C2" s="185"/>
      <c r="G2" s="185"/>
    </row>
    <row r="3">
      <c r="A3" s="183" t="s">
        <v>419</v>
      </c>
      <c r="B3" s="183" t="s">
        <v>420</v>
      </c>
      <c r="C3" s="183" t="s">
        <v>421</v>
      </c>
      <c r="D3" s="183" t="s">
        <v>422</v>
      </c>
      <c r="E3" s="183" t="s">
        <v>423</v>
      </c>
      <c r="F3" s="183">
        <v>5.0</v>
      </c>
      <c r="G3" s="183" t="s">
        <v>424</v>
      </c>
      <c r="H3" s="183" t="s">
        <v>425</v>
      </c>
    </row>
    <row r="4">
      <c r="A4" s="183" t="s">
        <v>435</v>
      </c>
      <c r="B4" s="183" t="s">
        <v>436</v>
      </c>
      <c r="C4" s="183" t="s">
        <v>421</v>
      </c>
      <c r="D4" s="183" t="s">
        <v>422</v>
      </c>
      <c r="E4" s="183" t="s">
        <v>423</v>
      </c>
      <c r="F4" s="183">
        <v>5.0</v>
      </c>
      <c r="G4" s="183" t="s">
        <v>424</v>
      </c>
      <c r="H4" s="183" t="s">
        <v>425</v>
      </c>
    </row>
    <row r="5">
      <c r="A5" s="183" t="s">
        <v>437</v>
      </c>
      <c r="B5" s="183" t="s">
        <v>438</v>
      </c>
      <c r="C5" s="183" t="s">
        <v>421</v>
      </c>
      <c r="D5" s="183" t="s">
        <v>422</v>
      </c>
      <c r="E5" s="183" t="s">
        <v>423</v>
      </c>
      <c r="F5" s="183">
        <v>8.0</v>
      </c>
      <c r="G5" s="183" t="s">
        <v>424</v>
      </c>
      <c r="H5" s="183" t="s">
        <v>425</v>
      </c>
    </row>
    <row r="6">
      <c r="A6" s="183" t="s">
        <v>700</v>
      </c>
      <c r="C6" s="185"/>
      <c r="F6" s="185">
        <f>SUM(F3:F5)</f>
        <v>18</v>
      </c>
      <c r="G6" s="185"/>
    </row>
    <row r="7">
      <c r="C7" s="185"/>
      <c r="G7" s="185"/>
    </row>
    <row r="8">
      <c r="A8" s="183" t="s">
        <v>445</v>
      </c>
      <c r="C8" s="185"/>
      <c r="G8" s="185"/>
    </row>
    <row r="9">
      <c r="A9" s="183" t="s">
        <v>446</v>
      </c>
      <c r="B9" s="183" t="s">
        <v>447</v>
      </c>
      <c r="C9" s="183" t="s">
        <v>448</v>
      </c>
      <c r="D9" s="183" t="s">
        <v>449</v>
      </c>
      <c r="E9" s="183" t="s">
        <v>423</v>
      </c>
      <c r="F9" s="183">
        <v>5.0</v>
      </c>
      <c r="G9" s="183" t="s">
        <v>424</v>
      </c>
      <c r="H9" s="183" t="s">
        <v>425</v>
      </c>
    </row>
    <row r="10">
      <c r="A10" s="183" t="s">
        <v>450</v>
      </c>
      <c r="B10" s="183" t="s">
        <v>451</v>
      </c>
      <c r="C10" s="183" t="s">
        <v>448</v>
      </c>
      <c r="D10" s="183" t="s">
        <v>449</v>
      </c>
      <c r="E10" s="183" t="s">
        <v>423</v>
      </c>
      <c r="F10" s="183">
        <v>3.0</v>
      </c>
      <c r="G10" s="183" t="s">
        <v>428</v>
      </c>
      <c r="H10" s="183" t="s">
        <v>425</v>
      </c>
    </row>
    <row r="11">
      <c r="A11" s="183" t="s">
        <v>456</v>
      </c>
      <c r="B11" s="183" t="s">
        <v>457</v>
      </c>
      <c r="C11" s="183" t="s">
        <v>448</v>
      </c>
      <c r="D11" s="183" t="s">
        <v>449</v>
      </c>
      <c r="E11" s="183" t="s">
        <v>423</v>
      </c>
      <c r="F11" s="183">
        <v>5.0</v>
      </c>
      <c r="G11" s="183" t="s">
        <v>424</v>
      </c>
      <c r="H11" s="183" t="s">
        <v>425</v>
      </c>
    </row>
    <row r="12">
      <c r="A12" s="183" t="s">
        <v>460</v>
      </c>
      <c r="B12" s="183" t="s">
        <v>461</v>
      </c>
      <c r="C12" s="183" t="s">
        <v>448</v>
      </c>
      <c r="D12" s="183" t="s">
        <v>449</v>
      </c>
      <c r="E12" s="183" t="s">
        <v>423</v>
      </c>
      <c r="F12" s="183">
        <v>8.0</v>
      </c>
      <c r="G12" s="183" t="s">
        <v>424</v>
      </c>
      <c r="H12" s="183" t="s">
        <v>425</v>
      </c>
    </row>
    <row r="13">
      <c r="A13" s="183" t="s">
        <v>462</v>
      </c>
      <c r="B13" s="183" t="s">
        <v>463</v>
      </c>
      <c r="C13" s="183" t="s">
        <v>448</v>
      </c>
      <c r="D13" s="183" t="s">
        <v>449</v>
      </c>
      <c r="E13" s="183" t="s">
        <v>423</v>
      </c>
      <c r="F13" s="183">
        <v>5.0</v>
      </c>
      <c r="G13" s="183" t="s">
        <v>424</v>
      </c>
      <c r="H13" s="183" t="s">
        <v>425</v>
      </c>
    </row>
    <row r="14">
      <c r="A14" s="183" t="s">
        <v>701</v>
      </c>
      <c r="C14" s="185"/>
      <c r="F14" s="183">
        <f>SUM(F9:F13)</f>
        <v>26</v>
      </c>
      <c r="G14" s="185"/>
    </row>
    <row r="15">
      <c r="C15" s="185"/>
      <c r="G15" s="185"/>
    </row>
    <row r="16">
      <c r="A16" s="183" t="s">
        <v>473</v>
      </c>
      <c r="C16" s="185"/>
      <c r="G16" s="185"/>
    </row>
    <row r="17">
      <c r="A17" s="183" t="s">
        <v>474</v>
      </c>
      <c r="B17" s="183" t="s">
        <v>475</v>
      </c>
      <c r="C17" s="183" t="s">
        <v>476</v>
      </c>
      <c r="D17" s="183" t="s">
        <v>477</v>
      </c>
      <c r="E17" s="183" t="s">
        <v>423</v>
      </c>
      <c r="F17" s="183">
        <v>5.0</v>
      </c>
      <c r="G17" s="183" t="s">
        <v>424</v>
      </c>
      <c r="H17" s="183" t="s">
        <v>425</v>
      </c>
    </row>
    <row r="18">
      <c r="A18" s="183" t="s">
        <v>478</v>
      </c>
      <c r="B18" s="183" t="s">
        <v>479</v>
      </c>
      <c r="C18" s="183" t="s">
        <v>476</v>
      </c>
      <c r="D18" s="183" t="s">
        <v>477</v>
      </c>
      <c r="E18" s="183" t="s">
        <v>423</v>
      </c>
      <c r="F18" s="183">
        <v>3.0</v>
      </c>
      <c r="G18" s="183" t="s">
        <v>428</v>
      </c>
      <c r="H18" s="183" t="s">
        <v>425</v>
      </c>
    </row>
    <row r="19">
      <c r="A19" s="183" t="s">
        <v>482</v>
      </c>
      <c r="B19" s="183" t="s">
        <v>483</v>
      </c>
      <c r="C19" s="183" t="s">
        <v>476</v>
      </c>
      <c r="D19" s="183" t="s">
        <v>477</v>
      </c>
      <c r="E19" s="183" t="s">
        <v>423</v>
      </c>
      <c r="F19" s="183">
        <v>5.0</v>
      </c>
      <c r="G19" s="183" t="s">
        <v>424</v>
      </c>
      <c r="H19" s="183" t="s">
        <v>425</v>
      </c>
    </row>
    <row r="20">
      <c r="A20" s="183" t="s">
        <v>484</v>
      </c>
      <c r="B20" s="183" t="s">
        <v>485</v>
      </c>
      <c r="C20" s="183" t="s">
        <v>476</v>
      </c>
      <c r="D20" s="183" t="s">
        <v>477</v>
      </c>
      <c r="E20" s="183" t="s">
        <v>423</v>
      </c>
      <c r="F20" s="183">
        <v>8.0</v>
      </c>
      <c r="G20" s="183" t="s">
        <v>424</v>
      </c>
      <c r="H20" s="183" t="s">
        <v>425</v>
      </c>
    </row>
    <row r="21">
      <c r="A21" s="183" t="s">
        <v>486</v>
      </c>
      <c r="B21" s="183" t="s">
        <v>487</v>
      </c>
      <c r="C21" s="183" t="s">
        <v>476</v>
      </c>
      <c r="D21" s="183" t="s">
        <v>477</v>
      </c>
      <c r="E21" s="183" t="s">
        <v>423</v>
      </c>
      <c r="F21" s="183">
        <v>8.0</v>
      </c>
      <c r="G21" s="183" t="s">
        <v>424</v>
      </c>
      <c r="H21" s="183" t="s">
        <v>425</v>
      </c>
    </row>
    <row r="22">
      <c r="A22" s="183" t="s">
        <v>702</v>
      </c>
      <c r="C22" s="185"/>
      <c r="F22" s="183">
        <f>SUM(F17:F21)</f>
        <v>29</v>
      </c>
      <c r="G22" s="185"/>
    </row>
    <row r="23">
      <c r="C23" s="185"/>
      <c r="G23" s="185"/>
    </row>
    <row r="24">
      <c r="A24" s="183" t="s">
        <v>499</v>
      </c>
      <c r="C24" s="185"/>
      <c r="G24" s="185"/>
    </row>
    <row r="25">
      <c r="A25" s="183" t="s">
        <v>500</v>
      </c>
      <c r="B25" s="183" t="s">
        <v>501</v>
      </c>
      <c r="C25" s="183" t="s">
        <v>502</v>
      </c>
      <c r="D25" s="183" t="s">
        <v>503</v>
      </c>
      <c r="E25" s="183" t="s">
        <v>423</v>
      </c>
      <c r="F25" s="183">
        <v>5.0</v>
      </c>
      <c r="G25" s="183" t="s">
        <v>424</v>
      </c>
      <c r="H25" s="183" t="s">
        <v>425</v>
      </c>
    </row>
    <row r="26">
      <c r="A26" s="183" t="s">
        <v>504</v>
      </c>
      <c r="B26" s="183" t="s">
        <v>505</v>
      </c>
      <c r="C26" s="183" t="s">
        <v>502</v>
      </c>
      <c r="D26" s="183" t="s">
        <v>503</v>
      </c>
      <c r="E26" s="183" t="s">
        <v>423</v>
      </c>
      <c r="F26" s="183">
        <v>3.0</v>
      </c>
      <c r="G26" s="183" t="s">
        <v>428</v>
      </c>
      <c r="H26" s="183" t="s">
        <v>425</v>
      </c>
    </row>
    <row r="27">
      <c r="A27" s="183" t="s">
        <v>508</v>
      </c>
      <c r="B27" s="183" t="s">
        <v>509</v>
      </c>
      <c r="C27" s="183" t="s">
        <v>502</v>
      </c>
      <c r="D27" s="183" t="s">
        <v>503</v>
      </c>
      <c r="E27" s="183" t="s">
        <v>423</v>
      </c>
      <c r="F27" s="183">
        <v>5.0</v>
      </c>
      <c r="G27" s="183" t="s">
        <v>424</v>
      </c>
      <c r="H27" s="183" t="s">
        <v>425</v>
      </c>
    </row>
    <row r="28">
      <c r="A28" s="183" t="s">
        <v>510</v>
      </c>
      <c r="B28" s="183" t="s">
        <v>511</v>
      </c>
      <c r="C28" s="183" t="s">
        <v>502</v>
      </c>
      <c r="D28" s="183" t="s">
        <v>503</v>
      </c>
      <c r="E28" s="183" t="s">
        <v>423</v>
      </c>
      <c r="F28" s="183">
        <v>5.0</v>
      </c>
      <c r="G28" s="183" t="s">
        <v>424</v>
      </c>
      <c r="H28" s="183" t="s">
        <v>425</v>
      </c>
    </row>
    <row r="29">
      <c r="A29" s="183" t="s">
        <v>512</v>
      </c>
      <c r="B29" s="183" t="s">
        <v>513</v>
      </c>
      <c r="C29" s="183" t="s">
        <v>502</v>
      </c>
      <c r="D29" s="183" t="s">
        <v>503</v>
      </c>
      <c r="E29" s="183" t="s">
        <v>423</v>
      </c>
      <c r="F29" s="183">
        <v>5.0</v>
      </c>
      <c r="G29" s="183" t="s">
        <v>424</v>
      </c>
      <c r="H29" s="183" t="s">
        <v>425</v>
      </c>
    </row>
    <row r="30">
      <c r="A30" s="183" t="s">
        <v>514</v>
      </c>
      <c r="B30" s="183" t="s">
        <v>515</v>
      </c>
      <c r="C30" s="183" t="s">
        <v>502</v>
      </c>
      <c r="D30" s="183" t="s">
        <v>503</v>
      </c>
      <c r="E30" s="183" t="s">
        <v>423</v>
      </c>
      <c r="F30" s="183">
        <v>8.0</v>
      </c>
      <c r="G30" s="183" t="s">
        <v>424</v>
      </c>
      <c r="H30" s="183" t="s">
        <v>425</v>
      </c>
    </row>
    <row r="31">
      <c r="A31" s="183" t="s">
        <v>520</v>
      </c>
      <c r="B31" s="183" t="s">
        <v>521</v>
      </c>
      <c r="C31" s="183" t="s">
        <v>502</v>
      </c>
      <c r="D31" s="183" t="s">
        <v>503</v>
      </c>
      <c r="E31" s="183" t="s">
        <v>423</v>
      </c>
      <c r="F31" s="183">
        <v>8.0</v>
      </c>
      <c r="G31" s="183" t="s">
        <v>428</v>
      </c>
      <c r="H31" s="183" t="s">
        <v>425</v>
      </c>
    </row>
    <row r="32">
      <c r="A32" s="183" t="s">
        <v>703</v>
      </c>
      <c r="C32" s="185"/>
      <c r="F32" s="183">
        <f>SUM(F25:F31)</f>
        <v>39</v>
      </c>
      <c r="G32" s="185"/>
    </row>
    <row r="33">
      <c r="C33" s="185"/>
      <c r="G33" s="185"/>
    </row>
    <row r="34">
      <c r="A34" s="183" t="s">
        <v>559</v>
      </c>
      <c r="C34" s="185"/>
      <c r="G34" s="185"/>
    </row>
    <row r="35">
      <c r="A35" s="183" t="s">
        <v>560</v>
      </c>
      <c r="B35" s="183" t="s">
        <v>561</v>
      </c>
      <c r="C35" s="183" t="s">
        <v>562</v>
      </c>
      <c r="D35" s="183" t="s">
        <v>563</v>
      </c>
      <c r="E35" s="183" t="s">
        <v>423</v>
      </c>
      <c r="F35" s="183">
        <v>5.0</v>
      </c>
      <c r="G35" s="183" t="s">
        <v>424</v>
      </c>
      <c r="H35" s="183" t="s">
        <v>425</v>
      </c>
    </row>
    <row r="36">
      <c r="A36" s="183" t="s">
        <v>564</v>
      </c>
      <c r="B36" s="183" t="s">
        <v>565</v>
      </c>
      <c r="C36" s="183" t="s">
        <v>562</v>
      </c>
      <c r="D36" s="183" t="s">
        <v>563</v>
      </c>
      <c r="E36" s="183" t="s">
        <v>423</v>
      </c>
      <c r="F36" s="183">
        <v>3.0</v>
      </c>
      <c r="G36" s="183" t="s">
        <v>424</v>
      </c>
      <c r="H36" s="183" t="s">
        <v>425</v>
      </c>
    </row>
    <row r="37">
      <c r="A37" s="183" t="s">
        <v>566</v>
      </c>
      <c r="B37" s="183" t="s">
        <v>567</v>
      </c>
      <c r="C37" s="183" t="s">
        <v>562</v>
      </c>
      <c r="D37" s="183" t="s">
        <v>563</v>
      </c>
      <c r="E37" s="183" t="s">
        <v>423</v>
      </c>
      <c r="F37" s="183">
        <v>3.0</v>
      </c>
      <c r="G37" s="183" t="s">
        <v>424</v>
      </c>
      <c r="H37" s="183" t="s">
        <v>425</v>
      </c>
    </row>
    <row r="38">
      <c r="A38" s="183" t="s">
        <v>568</v>
      </c>
      <c r="B38" s="183" t="s">
        <v>569</v>
      </c>
      <c r="C38" s="183" t="s">
        <v>562</v>
      </c>
      <c r="D38" s="183" t="s">
        <v>563</v>
      </c>
      <c r="E38" s="183" t="s">
        <v>423</v>
      </c>
      <c r="F38" s="183">
        <v>5.0</v>
      </c>
      <c r="G38" s="183" t="s">
        <v>424</v>
      </c>
      <c r="H38" s="183" t="s">
        <v>425</v>
      </c>
    </row>
    <row r="39">
      <c r="A39" s="183" t="s">
        <v>574</v>
      </c>
      <c r="B39" s="183" t="s">
        <v>575</v>
      </c>
      <c r="C39" s="183" t="s">
        <v>562</v>
      </c>
      <c r="D39" s="183" t="s">
        <v>563</v>
      </c>
      <c r="E39" s="183" t="s">
        <v>423</v>
      </c>
      <c r="F39" s="183">
        <v>8.0</v>
      </c>
      <c r="G39" s="183" t="s">
        <v>424</v>
      </c>
      <c r="H39" s="183" t="s">
        <v>425</v>
      </c>
    </row>
    <row r="40">
      <c r="A40" s="183" t="s">
        <v>576</v>
      </c>
      <c r="B40" s="183" t="s">
        <v>577</v>
      </c>
      <c r="C40" s="183" t="s">
        <v>562</v>
      </c>
      <c r="D40" s="183" t="s">
        <v>563</v>
      </c>
      <c r="E40" s="183" t="s">
        <v>423</v>
      </c>
      <c r="F40" s="183">
        <v>5.0</v>
      </c>
      <c r="G40" s="183" t="s">
        <v>424</v>
      </c>
      <c r="H40" s="183" t="s">
        <v>425</v>
      </c>
    </row>
    <row r="41">
      <c r="A41" s="183" t="s">
        <v>704</v>
      </c>
      <c r="C41" s="185"/>
      <c r="F41" s="183">
        <f>SUM(F35:F40)</f>
        <v>29</v>
      </c>
      <c r="G41" s="185"/>
    </row>
    <row r="42">
      <c r="C42" s="185"/>
      <c r="G42" s="185"/>
    </row>
    <row r="43">
      <c r="A43" s="183" t="s">
        <v>637</v>
      </c>
      <c r="C43" s="185"/>
      <c r="G43" s="185"/>
    </row>
    <row r="44">
      <c r="A44" s="183" t="s">
        <v>638</v>
      </c>
      <c r="B44" s="183" t="s">
        <v>639</v>
      </c>
      <c r="C44" s="183" t="s">
        <v>640</v>
      </c>
      <c r="D44" s="183" t="s">
        <v>641</v>
      </c>
      <c r="E44" s="183" t="s">
        <v>423</v>
      </c>
      <c r="F44" s="183">
        <v>8.0</v>
      </c>
      <c r="G44" s="183" t="s">
        <v>424</v>
      </c>
      <c r="H44" s="183" t="s">
        <v>425</v>
      </c>
    </row>
    <row r="45">
      <c r="A45" s="183" t="s">
        <v>642</v>
      </c>
      <c r="B45" s="183" t="s">
        <v>643</v>
      </c>
      <c r="C45" s="183" t="s">
        <v>640</v>
      </c>
      <c r="D45" s="183" t="s">
        <v>641</v>
      </c>
      <c r="E45" s="183" t="s">
        <v>423</v>
      </c>
      <c r="F45" s="183">
        <v>3.0</v>
      </c>
      <c r="G45" s="183" t="s">
        <v>424</v>
      </c>
      <c r="H45" s="183" t="s">
        <v>425</v>
      </c>
    </row>
    <row r="46">
      <c r="A46" s="183" t="s">
        <v>644</v>
      </c>
      <c r="B46" s="183" t="s">
        <v>645</v>
      </c>
      <c r="C46" s="183" t="s">
        <v>640</v>
      </c>
      <c r="D46" s="183" t="s">
        <v>641</v>
      </c>
      <c r="E46" s="183" t="s">
        <v>423</v>
      </c>
      <c r="F46" s="183">
        <v>3.0</v>
      </c>
      <c r="G46" s="183" t="s">
        <v>424</v>
      </c>
      <c r="H46" s="183" t="s">
        <v>425</v>
      </c>
    </row>
    <row r="47">
      <c r="A47" s="183" t="s">
        <v>646</v>
      </c>
      <c r="B47" s="183" t="s">
        <v>647</v>
      </c>
      <c r="C47" s="183" t="s">
        <v>640</v>
      </c>
      <c r="D47" s="183" t="s">
        <v>641</v>
      </c>
      <c r="E47" s="183" t="s">
        <v>423</v>
      </c>
      <c r="F47" s="183">
        <v>3.0</v>
      </c>
      <c r="G47" s="183" t="s">
        <v>424</v>
      </c>
      <c r="H47" s="183" t="s">
        <v>425</v>
      </c>
    </row>
    <row r="48">
      <c r="A48" s="183" t="s">
        <v>648</v>
      </c>
      <c r="B48" s="183" t="s">
        <v>649</v>
      </c>
      <c r="C48" s="183" t="s">
        <v>640</v>
      </c>
      <c r="D48" s="183" t="s">
        <v>641</v>
      </c>
      <c r="E48" s="183" t="s">
        <v>423</v>
      </c>
      <c r="F48" s="183">
        <v>3.0</v>
      </c>
      <c r="G48" s="183" t="s">
        <v>424</v>
      </c>
      <c r="H48" s="183" t="s">
        <v>425</v>
      </c>
    </row>
    <row r="49">
      <c r="A49" s="183" t="s">
        <v>658</v>
      </c>
      <c r="B49" s="183" t="s">
        <v>659</v>
      </c>
      <c r="C49" s="183" t="s">
        <v>640</v>
      </c>
      <c r="D49" s="183" t="s">
        <v>641</v>
      </c>
      <c r="E49" s="183" t="s">
        <v>423</v>
      </c>
      <c r="F49" s="183">
        <v>5.0</v>
      </c>
      <c r="G49" s="183" t="s">
        <v>424</v>
      </c>
      <c r="H49" s="183" t="s">
        <v>425</v>
      </c>
    </row>
    <row r="50">
      <c r="A50" s="183" t="s">
        <v>705</v>
      </c>
      <c r="C50" s="185"/>
      <c r="F50" s="183">
        <f>SUM(F44:F49)</f>
        <v>25</v>
      </c>
      <c r="G50" s="185"/>
    </row>
    <row r="51">
      <c r="C51" s="185"/>
      <c r="G51" s="185"/>
    </row>
    <row r="52">
      <c r="A52" s="183" t="s">
        <v>669</v>
      </c>
      <c r="C52" s="185"/>
      <c r="G52" s="185"/>
    </row>
    <row r="53">
      <c r="A53" s="183" t="s">
        <v>670</v>
      </c>
      <c r="B53" s="183" t="s">
        <v>671</v>
      </c>
      <c r="C53" s="183" t="s">
        <v>672</v>
      </c>
      <c r="D53" s="183" t="s">
        <v>673</v>
      </c>
      <c r="E53" s="183" t="s">
        <v>423</v>
      </c>
      <c r="F53" s="183">
        <v>5.0</v>
      </c>
      <c r="G53" s="183" t="s">
        <v>424</v>
      </c>
      <c r="H53" s="183" t="s">
        <v>425</v>
      </c>
    </row>
    <row r="54">
      <c r="A54" s="183" t="s">
        <v>674</v>
      </c>
      <c r="B54" s="183" t="s">
        <v>675</v>
      </c>
      <c r="C54" s="183" t="s">
        <v>672</v>
      </c>
      <c r="D54" s="183" t="s">
        <v>673</v>
      </c>
      <c r="E54" s="183" t="s">
        <v>423</v>
      </c>
      <c r="F54" s="183">
        <v>5.0</v>
      </c>
      <c r="G54" s="183" t="s">
        <v>424</v>
      </c>
      <c r="H54" s="183" t="s">
        <v>425</v>
      </c>
    </row>
    <row r="55">
      <c r="A55" s="183" t="s">
        <v>676</v>
      </c>
      <c r="B55" s="183" t="s">
        <v>677</v>
      </c>
      <c r="C55" s="183" t="s">
        <v>672</v>
      </c>
      <c r="D55" s="183" t="s">
        <v>673</v>
      </c>
      <c r="E55" s="183" t="s">
        <v>423</v>
      </c>
      <c r="F55" s="183">
        <v>5.0</v>
      </c>
      <c r="G55" s="183" t="s">
        <v>424</v>
      </c>
      <c r="H55" s="183" t="s">
        <v>425</v>
      </c>
    </row>
    <row r="56">
      <c r="A56" s="183" t="s">
        <v>678</v>
      </c>
      <c r="B56" s="183" t="s">
        <v>679</v>
      </c>
      <c r="C56" s="183" t="s">
        <v>672</v>
      </c>
      <c r="D56" s="183" t="s">
        <v>673</v>
      </c>
      <c r="E56" s="183" t="s">
        <v>423</v>
      </c>
      <c r="F56" s="183">
        <v>5.0</v>
      </c>
      <c r="G56" s="183" t="s">
        <v>424</v>
      </c>
      <c r="H56" s="183" t="s">
        <v>425</v>
      </c>
    </row>
    <row r="57">
      <c r="A57" s="183" t="s">
        <v>680</v>
      </c>
      <c r="B57" s="183" t="s">
        <v>681</v>
      </c>
      <c r="C57" s="183" t="s">
        <v>672</v>
      </c>
      <c r="D57" s="183" t="s">
        <v>673</v>
      </c>
      <c r="E57" s="183" t="s">
        <v>423</v>
      </c>
      <c r="F57" s="183">
        <v>5.0</v>
      </c>
      <c r="G57" s="183" t="s">
        <v>424</v>
      </c>
      <c r="H57" s="183" t="s">
        <v>425</v>
      </c>
    </row>
    <row r="58">
      <c r="A58" s="183" t="s">
        <v>682</v>
      </c>
      <c r="B58" s="183" t="s">
        <v>683</v>
      </c>
      <c r="C58" s="183" t="s">
        <v>672</v>
      </c>
      <c r="D58" s="183" t="s">
        <v>673</v>
      </c>
      <c r="E58" s="183" t="s">
        <v>423</v>
      </c>
      <c r="F58" s="183">
        <v>3.0</v>
      </c>
      <c r="G58" s="183" t="s">
        <v>424</v>
      </c>
      <c r="H58" s="183" t="s">
        <v>425</v>
      </c>
    </row>
    <row r="59">
      <c r="A59" s="183" t="s">
        <v>686</v>
      </c>
      <c r="B59" s="183" t="s">
        <v>687</v>
      </c>
      <c r="C59" s="183" t="s">
        <v>672</v>
      </c>
      <c r="D59" s="183" t="s">
        <v>673</v>
      </c>
      <c r="E59" s="183" t="s">
        <v>423</v>
      </c>
      <c r="F59" s="183">
        <v>5.0</v>
      </c>
      <c r="G59" s="183" t="s">
        <v>424</v>
      </c>
      <c r="H59" s="183" t="s">
        <v>425</v>
      </c>
    </row>
    <row r="60">
      <c r="A60" s="183" t="s">
        <v>688</v>
      </c>
      <c r="B60" s="183" t="s">
        <v>689</v>
      </c>
      <c r="C60" s="183" t="s">
        <v>672</v>
      </c>
      <c r="D60" s="183" t="s">
        <v>673</v>
      </c>
      <c r="E60" s="183" t="s">
        <v>423</v>
      </c>
      <c r="F60" s="183">
        <v>5.0</v>
      </c>
      <c r="G60" s="183" t="s">
        <v>424</v>
      </c>
      <c r="H60" s="183" t="s">
        <v>425</v>
      </c>
    </row>
    <row r="61">
      <c r="A61" s="183" t="s">
        <v>690</v>
      </c>
      <c r="B61" s="183" t="s">
        <v>691</v>
      </c>
      <c r="C61" s="183" t="s">
        <v>672</v>
      </c>
      <c r="D61" s="183" t="s">
        <v>673</v>
      </c>
      <c r="E61" s="183" t="s">
        <v>423</v>
      </c>
      <c r="F61" s="183">
        <v>5.0</v>
      </c>
      <c r="G61" s="183" t="s">
        <v>424</v>
      </c>
      <c r="H61" s="183" t="s">
        <v>425</v>
      </c>
    </row>
    <row r="62">
      <c r="A62" s="183" t="s">
        <v>706</v>
      </c>
      <c r="C62" s="185"/>
      <c r="F62" s="183">
        <f>SUM(F53:F61)</f>
        <v>43</v>
      </c>
      <c r="G62" s="185"/>
    </row>
    <row r="63">
      <c r="C63" s="185"/>
      <c r="G63" s="185"/>
    </row>
    <row r="64">
      <c r="A64" s="183" t="s">
        <v>707</v>
      </c>
      <c r="C64" s="185"/>
      <c r="F64" s="185">
        <f>SUM(F6+F14+F22+F32+F41+F50+F62)</f>
        <v>209</v>
      </c>
      <c r="G64" s="185"/>
    </row>
  </sheetData>
  <autoFilter ref="$A$1:$H$6"/>
  <dataValidations>
    <dataValidation type="list" allowBlank="1" showErrorMessage="1" sqref="C2:C64">
      <formula1>"EP01,EP02,EP03,EP04,EP06,EP09,EP10"</formula1>
    </dataValidation>
    <dataValidation type="list" allowBlank="1" showErrorMessage="1" sqref="G2:G64">
      <formula1>"High,Medium"</formula1>
    </dataValidation>
  </dataValidations>
  <drawing r:id="rId1"/>
</worksheet>
</file>